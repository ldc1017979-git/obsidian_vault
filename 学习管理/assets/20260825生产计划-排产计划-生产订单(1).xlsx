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lin4\Documents\xwechat_files\wxid_sf0tfua82nfd22_a55f\msg\file\2026-08\"/>
    </mc:Choice>
  </mc:AlternateContent>
  <bookViews>
    <workbookView windowWidth="27945" windowHeight="12375"/>
  </bookViews>
  <sheets>
    <sheet name="关联关系" sheetId="7" r:id="rId1"/>
    <sheet name="流程" sheetId="8" r:id="rId2"/>
    <sheet name="生产计划明细" sheetId="1" r:id="rId3"/>
    <sheet name="委托生产订单" sheetId="11" r:id="rId4"/>
    <sheet name="排产计划汇总" sheetId="4" r:id="rId5"/>
    <sheet name="排产计划明细" sheetId="9" r:id="rId6"/>
    <sheet name="BOM" sheetId="13" r:id="rId7"/>
    <sheet name="生产订单相关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<sst xmlns="http://schemas.openxmlformats.org/spreadsheetml/2006/main" count="716" uniqueCount="281">
  <si>
    <t>总部储运部</t>
  </si>
  <si>
    <t>总部储运部、基地储运部、基地生产部</t>
  </si>
  <si>
    <t>基地生产部</t>
  </si>
  <si>
    <t>生产计划（基于月）</t>
  </si>
  <si>
    <t>排产计划（基于天）</t>
  </si>
  <si>
    <t>生产订单（基于班组）</t>
  </si>
  <si>
    <t>组织</t>
  </si>
  <si>
    <t>车间</t>
  </si>
  <si>
    <t>物料</t>
  </si>
  <si>
    <t>月度产量</t>
  </si>
  <si>
    <t>产线</t>
  </si>
  <si>
    <t>日产量</t>
  </si>
  <si>
    <t>班组</t>
  </si>
  <si>
    <t>班产量</t>
  </si>
  <si>
    <t>广东基地</t>
  </si>
  <si>
    <t>一车间</t>
  </si>
  <si>
    <t>31周年普通</t>
  </si>
  <si>
    <t>50万箱</t>
  </si>
  <si>
    <t>→</t>
  </si>
  <si>
    <t>1线</t>
  </si>
  <si>
    <t>3.5万箱</t>
  </si>
  <si>
    <t>0001</t>
  </si>
  <si>
    <t>1万箱</t>
  </si>
  <si>
    <t>二车间</t>
  </si>
  <si>
    <t>100万箱</t>
  </si>
  <si>
    <t>约束</t>
  </si>
  <si>
    <t>战马无锡</t>
  </si>
  <si>
    <t>战马广东委外</t>
  </si>
  <si>
    <t>佛山战马生产二线</t>
  </si>
  <si>
    <t>线上1元乐享2026</t>
  </si>
  <si>
    <t>2.8万箱</t>
  </si>
  <si>
    <t>指导</t>
  </si>
  <si>
    <t>0002</t>
  </si>
  <si>
    <t>三车间</t>
  </si>
  <si>
    <t>5万箱</t>
  </si>
  <si>
    <t>↓指导</t>
  </si>
  <si>
    <t>基地储运部</t>
  </si>
  <si>
    <t>原材料采购订单</t>
  </si>
  <si>
    <t>人员、设备等的提前安排</t>
  </si>
  <si>
    <t>要货计划</t>
  </si>
  <si>
    <t>版面类包材（纸箱、空罐、顶盖、底盖）</t>
  </si>
  <si>
    <t>领料</t>
  </si>
  <si>
    <t>采购订单</t>
  </si>
  <si>
    <t>辅料类（热熔胶、液氮等）</t>
  </si>
  <si>
    <t>投料</t>
  </si>
  <si>
    <t>非版面类原材料（内容物、缩膜、胶带等）</t>
  </si>
  <si>
    <t>生产计划单号</t>
  </si>
  <si>
    <t>订单类型</t>
  </si>
  <si>
    <t>是否出具委托生产订单</t>
  </si>
  <si>
    <t>委托生产订单日期</t>
  </si>
  <si>
    <t>委托方</t>
  </si>
  <si>
    <t>受托方</t>
  </si>
  <si>
    <t>生产计划时间起</t>
  </si>
  <si>
    <t>生产计划时间止</t>
  </si>
  <si>
    <t>SAP系统
物料编码</t>
  </si>
  <si>
    <t>物料编码</t>
  </si>
  <si>
    <t>物料名称</t>
  </si>
  <si>
    <t>计划生产量</t>
  </si>
  <si>
    <t>单位</t>
  </si>
  <si>
    <t>委外加工单价（元）</t>
  </si>
  <si>
    <t>咖啡因费用单价（元）</t>
  </si>
  <si>
    <t>加工费合计（元）</t>
  </si>
  <si>
    <t>组织代码</t>
  </si>
  <si>
    <t>组织名称</t>
  </si>
  <si>
    <t>工厂代码</t>
  </si>
  <si>
    <t>工厂名称</t>
  </si>
  <si>
    <t>库位代码</t>
  </si>
  <si>
    <t>库位名称</t>
  </si>
  <si>
    <t>0000550585</t>
  </si>
  <si>
    <t>生产计划订单</t>
  </si>
  <si>
    <t>否</t>
  </si>
  <si>
    <t>红牛维他命饮料（湖北）有限公司</t>
  </si>
  <si>
    <t>红牛湖北咸宁基地一号/二号线工厂</t>
  </si>
  <si>
    <t>红牛维生素功能饮料/普通型/250ML/24/31周年纪念装</t>
  </si>
  <si>
    <t>CAN</t>
  </si>
  <si>
    <t>0000550586</t>
  </si>
  <si>
    <t>红牛湖北咸宁基地三号/四号线工厂</t>
  </si>
  <si>
    <t>0000550587</t>
  </si>
  <si>
    <t>红牛湖北咸宁基地五号/六号线工厂</t>
  </si>
  <si>
    <t>0000550588</t>
  </si>
  <si>
    <t>广东红牛维他命饮料有限公司</t>
  </si>
  <si>
    <t>红牛广州三水基地一号/二号线工厂</t>
  </si>
  <si>
    <t>0000550589</t>
  </si>
  <si>
    <t>红牛广州三水基地三号/四号线工厂</t>
  </si>
  <si>
    <t>0000550590</t>
  </si>
  <si>
    <t>红牛广州三水基地五号/六号线工厂</t>
  </si>
  <si>
    <t>是</t>
  </si>
  <si>
    <t>红牛维他命饮料有限公司</t>
  </si>
  <si>
    <t>华彬快速消费品饮料（贵州）有限公司</t>
  </si>
  <si>
    <t>华彬快速消费品饮料（贵州）工厂</t>
  </si>
  <si>
    <t>委外加工采购订单</t>
  </si>
  <si>
    <t>辽宁奥瑞金食品工业有限公司</t>
  </si>
  <si>
    <t>红牛北京奥瑞金辽宁委外工厂</t>
  </si>
  <si>
    <t>成品委外库存地</t>
  </si>
  <si>
    <t>CAR</t>
  </si>
  <si>
    <t>战马（无锡）饮料有限公司</t>
  </si>
  <si>
    <t>无锡战马广东委外工厂</t>
  </si>
  <si>
    <t>战马/310ML/24/罐装/新包装</t>
  </si>
  <si>
    <t>朗臣</t>
  </si>
  <si>
    <t>无锡战马朗臣委外工厂</t>
  </si>
  <si>
    <t>交互前手填，交互后回传</t>
  </si>
  <si>
    <t>目前就两种类型</t>
  </si>
  <si>
    <t>手动选择</t>
  </si>
  <si>
    <t>手动选择，数据取自“生产组织代码”</t>
  </si>
  <si>
    <t>手动选择，订单类型为“生产计划订单”时，受托方数据取自“生产组织代码”；订单类型为“委外加工采购订单”时，受托方数据取自“供应商信息”</t>
  </si>
  <si>
    <t>订单类型为“生产计划订单”时，受托方工厂取自受托方“生产组织代码”工厂信息；订单类型为“委外加工采购订单”时，受托方工厂取自委托方“生产组织代码”工厂信息</t>
  </si>
  <si>
    <t>订单类型为“生产计划订单”时，无需填库位；订单类型为“委外加工采购订单”时，受托方库位取自委托方“生产组织代码”对应工厂下的库位信息</t>
  </si>
  <si>
    <t>手动填写</t>
  </si>
  <si>
    <t>手动填写，保留7位小数</t>
  </si>
  <si>
    <t>公式计算，四舍五入，保留两位小数</t>
  </si>
  <si>
    <t>组织过滤：</t>
  </si>
  <si>
    <t>生产计划订单委托方与受托方均可以看到；委外加工采购订单委托方对应工厂与受托方均可看到</t>
  </si>
  <si>
    <t>委托生产订单</t>
  </si>
  <si>
    <t>委托方：</t>
  </si>
  <si>
    <t>受托方：</t>
  </si>
  <si>
    <t>根据市场需求，请受托方生产如下产品：</t>
  </si>
  <si>
    <t>生产年月</t>
  </si>
  <si>
    <t>只显示到月份</t>
  </si>
  <si>
    <t>工厂产线名称</t>
  </si>
  <si>
    <t>红牛广东三水基地一号线</t>
  </si>
  <si>
    <t>红牛广东三水基地二号线</t>
  </si>
  <si>
    <t>-</t>
  </si>
  <si>
    <t>红牛广东三水基地三号线</t>
  </si>
  <si>
    <t>红牛广东三水基地四号线</t>
  </si>
  <si>
    <t>红牛广东三水基地五号线</t>
  </si>
  <si>
    <t>红牛广东三水基地六号线</t>
  </si>
  <si>
    <t>战马/310ML/24/罐装/2026/线上1元乐享-新包装</t>
  </si>
  <si>
    <t>战马/310ML/24/罐装/2026/新包装线下1元乐享（二段）</t>
  </si>
  <si>
    <t>战马/310ML/24/罐装/2026/扫码红包-新包装</t>
  </si>
  <si>
    <t>战马/310ML/24/罐装/2026/线下1元乐享</t>
  </si>
  <si>
    <t>组织名称可以隐藏不显示，排产汇总只展示物料名称，不展示量</t>
  </si>
  <si>
    <t>通过排产计划要货规则：</t>
  </si>
  <si>
    <t>1、通过生产成品物料与BOM，计算未来每天纸箱、空罐与顶盖/底盖需要货量；</t>
  </si>
  <si>
    <t>2、跳转要货页面。</t>
  </si>
  <si>
    <t>工厂产线代码</t>
  </si>
  <si>
    <t>生产日期</t>
  </si>
  <si>
    <t>计划数量</t>
  </si>
  <si>
    <t>咸宁生产一线</t>
  </si>
  <si>
    <t>XN01</t>
  </si>
  <si>
    <t>咸宁生产二线</t>
  </si>
  <si>
    <t>XN02</t>
  </si>
  <si>
    <t>咸宁生产三线</t>
  </si>
  <si>
    <t>XN03</t>
  </si>
  <si>
    <t>咸宁生产四线</t>
  </si>
  <si>
    <t>XN04</t>
  </si>
  <si>
    <t>咸宁生产五线</t>
  </si>
  <si>
    <t>XN05</t>
  </si>
  <si>
    <t>咸宁生产六线</t>
  </si>
  <si>
    <t>XN06</t>
  </si>
  <si>
    <t>GD01</t>
  </si>
  <si>
    <t>GD03</t>
  </si>
  <si>
    <t>GD04</t>
  </si>
  <si>
    <t>GD05</t>
  </si>
  <si>
    <t>GD06</t>
  </si>
  <si>
    <t>引用生产计划明细</t>
  </si>
  <si>
    <t>引用基础字典表产线信息；委外加工的订单无需产线</t>
  </si>
  <si>
    <t>生产计划起止拆分</t>
  </si>
  <si>
    <t>引用生产计划明细，对应工厂下的物料明细</t>
  </si>
  <si>
    <t>手填，数量控制详见“流程”工作簿</t>
  </si>
  <si>
    <t>组织过滤条件同生产计划明细</t>
  </si>
  <si>
    <t>可选的BOM</t>
  </si>
  <si>
    <t>BOM有效期起</t>
  </si>
  <si>
    <t>BOM有效期止</t>
  </si>
  <si>
    <t>BOM信息</t>
  </si>
  <si>
    <t>万罐单耗</t>
  </si>
  <si>
    <t>物料单位</t>
  </si>
  <si>
    <t>成本核算标识相关</t>
  </si>
  <si>
    <t>GC000028</t>
  </si>
  <si>
    <t>顶盖/206</t>
  </si>
  <si>
    <t>GE</t>
  </si>
  <si>
    <t>GC000030</t>
  </si>
  <si>
    <t>空罐/普通型/250ML/31周年版/无顶盖</t>
  </si>
  <si>
    <t>X</t>
  </si>
  <si>
    <t>GC000074</t>
  </si>
  <si>
    <t>纸皮/普通型/250ML/24/31周年版</t>
  </si>
  <si>
    <t>ZH</t>
  </si>
  <si>
    <t>GC000023</t>
  </si>
  <si>
    <t>热缩膜/450mm</t>
  </si>
  <si>
    <t>KG</t>
  </si>
  <si>
    <t>GC000025</t>
  </si>
  <si>
    <t>机用胶带</t>
  </si>
  <si>
    <t>JU</t>
  </si>
  <si>
    <t>GC000001</t>
  </si>
  <si>
    <t>RBMT0000</t>
  </si>
  <si>
    <t>GC000003</t>
  </si>
  <si>
    <t>RBMT0502</t>
  </si>
  <si>
    <t>GC000004</t>
  </si>
  <si>
    <t>RBMT0603</t>
  </si>
  <si>
    <t>GC000005</t>
  </si>
  <si>
    <t>RBMT0204</t>
  </si>
  <si>
    <t>GC000006</t>
  </si>
  <si>
    <t>RBMT0105</t>
  </si>
  <si>
    <t>GC000007</t>
  </si>
  <si>
    <t>RBMT1008</t>
  </si>
  <si>
    <t>GC000008</t>
  </si>
  <si>
    <t>RBMT0807</t>
  </si>
  <si>
    <t>G</t>
  </si>
  <si>
    <t>GC000009</t>
  </si>
  <si>
    <t>RBMT0906</t>
  </si>
  <si>
    <t>GC000010</t>
  </si>
  <si>
    <t>RBMT0312</t>
  </si>
  <si>
    <t>GC000011</t>
  </si>
  <si>
    <t>RBMT0411</t>
  </si>
  <si>
    <t>GC000012</t>
  </si>
  <si>
    <t>RBMT0701</t>
  </si>
  <si>
    <t>GC000013</t>
  </si>
  <si>
    <t>RBMT1209</t>
  </si>
  <si>
    <t>GC000014</t>
  </si>
  <si>
    <t>RBMT1310</t>
  </si>
  <si>
    <t>GC000015</t>
  </si>
  <si>
    <t>RBMT1113</t>
  </si>
  <si>
    <t>GC000016</t>
  </si>
  <si>
    <t>RBMT1117</t>
  </si>
  <si>
    <t>GC000017</t>
  </si>
  <si>
    <t>RBMT1114</t>
  </si>
  <si>
    <t>GC000018</t>
  </si>
  <si>
    <t>RBMT1115</t>
  </si>
  <si>
    <t>GC000019</t>
  </si>
  <si>
    <t>RBMT1118</t>
  </si>
  <si>
    <t>事务码</t>
  </si>
  <si>
    <t>基本开始</t>
  </si>
  <si>
    <t>基本完成</t>
  </si>
  <si>
    <t>订单</t>
  </si>
  <si>
    <t>生产版本</t>
  </si>
  <si>
    <t>订单数量</t>
  </si>
  <si>
    <t>数量</t>
  </si>
  <si>
    <t>优先级</t>
  </si>
  <si>
    <t>MD04</t>
  </si>
  <si>
    <t>华彬快速消费品饮料（福建）有限公司</t>
  </si>
  <si>
    <t>华彬快速消费品饮料（福建）工厂</t>
  </si>
  <si>
    <t>XM1C</t>
  </si>
  <si>
    <t>A</t>
  </si>
  <si>
    <t>创建生产订单</t>
  </si>
  <si>
    <t>引用排产计划</t>
  </si>
  <si>
    <t>基地+线别，通过产线映射</t>
  </si>
  <si>
    <t>排产计划量拆分3条，可修改</t>
  </si>
  <si>
    <t>引用排产计划，可修改，修改仅限选择对应工厂已下生产计划物料</t>
  </si>
  <si>
    <t>班组，选择：A/B/C</t>
  </si>
  <si>
    <t>产量</t>
  </si>
  <si>
    <t>报废</t>
  </si>
  <si>
    <t>取样数量</t>
  </si>
  <si>
    <t>订单单位</t>
  </si>
  <si>
    <t>直接人工</t>
  </si>
  <si>
    <t>配料缸数</t>
  </si>
  <si>
    <t>工作中心</t>
  </si>
  <si>
    <t>工厂</t>
  </si>
  <si>
    <t>记账日期</t>
  </si>
  <si>
    <t>CO11N</t>
  </si>
  <si>
    <t>H</t>
  </si>
  <si>
    <t>EA</t>
  </si>
  <si>
    <t>XM01</t>
  </si>
  <si>
    <t>生产报工，确认生产产量和工时计算费用，交接班流程审批后</t>
  </si>
  <si>
    <t>生产订单号</t>
  </si>
  <si>
    <t>最终生产数量，取AGV入库数</t>
  </si>
  <si>
    <t>报废数量，取自打码工序表单内岗位报废数量</t>
  </si>
  <si>
    <t>不含于产量，取自打码工序表单内岗位取样量+品管取样量</t>
  </si>
  <si>
    <t>AGV入库数/36000，位数待确认</t>
  </si>
  <si>
    <t>固定单位：H</t>
  </si>
  <si>
    <t>配料工序表单内所投料缸数</t>
  </si>
  <si>
    <t>固定单位：EA</t>
  </si>
  <si>
    <t>引用生产订单里生产版本对应的产线代码</t>
  </si>
  <si>
    <t>引用生产订单</t>
  </si>
  <si>
    <t>生产订单的订单时间</t>
  </si>
  <si>
    <t>移动类型</t>
  </si>
  <si>
    <t>库存地点</t>
  </si>
  <si>
    <t>移动原因</t>
  </si>
  <si>
    <t>批次</t>
  </si>
  <si>
    <t>凭证日期</t>
  </si>
  <si>
    <t>文本</t>
  </si>
  <si>
    <t>MB1A</t>
  </si>
  <si>
    <t>0005</t>
  </si>
  <si>
    <t>D260811T01</t>
  </si>
  <si>
    <t>固定</t>
  </si>
  <si>
    <t>生产工序表单出库时库存地点</t>
  </si>
  <si>
    <t>固定“0001”</t>
  </si>
  <si>
    <t>生产工序表单出库时物料</t>
  </si>
  <si>
    <t>生产工序表单出库时批次信息</t>
  </si>
  <si>
    <t>生产工序表单出库时数量</t>
  </si>
  <si>
    <t>生产工序表单出库时单位</t>
  </si>
  <si>
    <t>日期规则待确认</t>
  </si>
  <si>
    <t>缸号，来自配料工序表单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</si>
</sst>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</numFmts>
  <fonts count="44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仿宋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</font>
    <font>
      <b/>
      <sz val="11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12"/>
      <color rgb="FFFF0000"/>
      <name val="仿宋"/>
      <charset val="134"/>
    </font>
    <font>
      <b/>
      <sz val="12"/>
      <color theme="1"/>
      <name val="楷体"/>
      <charset val="134"/>
    </font>
    <font>
      <sz val="12"/>
      <color theme="1"/>
      <name val="楷体"/>
      <charset val="134"/>
    </font>
    <font>
      <sz val="14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4"/>
      <color theme="1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color theme="1"/>
      <name val="宋体"/>
      <charset val="134"/>
    </font>
    <font>
      <b/>
      <sz val="10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7" borderId="1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22" applyNumberFormat="0" applyAlignment="0" applyProtection="0">
      <alignment vertical="center"/>
    </xf>
    <xf numFmtId="0" fontId="34" fillId="9" borderId="23" applyNumberFormat="0" applyAlignment="0" applyProtection="0">
      <alignment vertical="center"/>
    </xf>
    <xf numFmtId="0" fontId="35" fillId="9" borderId="22" applyNumberFormat="0" applyAlignment="0" applyProtection="0">
      <alignment vertical="center"/>
    </xf>
    <xf numFmtId="0" fontId="36" fillId="10" borderId="24" applyNumberFormat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14" fontId="7" fillId="0" borderId="10" xfId="0" applyNumberFormat="1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14" fontId="7" fillId="3" borderId="10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2" fillId="2" borderId="2" xfId="0" applyFont="1" applyFill="1" applyBorder="1" applyAlignment="1" applyProtection="1">
      <alignment horizontal="center" vertical="center"/>
    </xf>
    <xf numFmtId="176" fontId="2" fillId="2" borderId="3" xfId="0" applyNumberFormat="1" applyFont="1" applyFill="1" applyBorder="1" applyAlignment="1" applyProtection="1">
      <alignment horizontal="center" vertical="center"/>
    </xf>
    <xf numFmtId="0" fontId="3" fillId="0" borderId="2" xfId="0" applyFont="1" applyBorder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57" fontId="17" fillId="3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3" borderId="0" xfId="0" applyFont="1" applyFill="1">
      <alignment vertical="center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1" fontId="13" fillId="0" borderId="0" xfId="0" applyNumberFormat="1" applyFont="1" applyAlignment="1">
      <alignment horizontal="center" vertical="center"/>
    </xf>
    <xf numFmtId="31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 wrapText="1"/>
    </xf>
    <xf numFmtId="0" fontId="2" fillId="2" borderId="14" xfId="0" applyFont="1" applyFill="1" applyBorder="1" applyAlignment="1" applyProtection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/>
    </xf>
    <xf numFmtId="0" fontId="2" fillId="2" borderId="14" xfId="0" applyFont="1" applyFill="1" applyBorder="1" applyAlignment="1" applyProtection="1">
      <alignment horizontal="center" vertical="center"/>
    </xf>
    <xf numFmtId="0" fontId="2" fillId="2" borderId="15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10" xfId="0" applyFont="1" applyFill="1" applyBorder="1" applyAlignment="1" applyProtection="1">
      <alignment horizontal="center" vertical="center" wrapText="1"/>
    </xf>
    <xf numFmtId="177" fontId="7" fillId="0" borderId="10" xfId="0" applyNumberFormat="1" applyFont="1" applyBorder="1" applyAlignment="1" applyProtection="1">
      <alignment horizontal="center" vertical="center"/>
    </xf>
    <xf numFmtId="0" fontId="12" fillId="3" borderId="1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9" fillId="0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22" fillId="6" borderId="2" xfId="0" applyFont="1" applyFill="1" applyBorder="1" applyAlignment="1" quotePrefix="1">
      <alignment horizontal="center" vertical="center" wrapText="1"/>
    </xf>
    <xf numFmtId="0" fontId="7" fillId="0" borderId="10" xfId="0" applyFont="1" applyBorder="1" applyAlignment="1" applyProtection="1" quotePrefix="1">
      <alignment horizontal="center" vertical="center" wrapText="1"/>
    </xf>
    <xf numFmtId="0" fontId="3" fillId="0" borderId="2" xfId="0" applyFont="1" applyFill="1" applyBorder="1" applyAlignment="1" quotePrefix="1">
      <alignment horizontal="center" vertical="center" wrapText="1"/>
    </xf>
    <xf numFmtId="14" fontId="3" fillId="0" borderId="2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369570</xdr:colOff>
      <xdr:row>2</xdr:row>
      <xdr:rowOff>74295</xdr:rowOff>
    </xdr:from>
    <xdr:to>
      <xdr:col>14</xdr:col>
      <xdr:colOff>436245</xdr:colOff>
      <xdr:row>45</xdr:row>
      <xdr:rowOff>85725</xdr:rowOff>
    </xdr:to>
    <xdr:pic>
      <xdr:nvPicPr>
        <xdr:cNvPr id="4" name="ECB019B1-382A-4266-B25C-5B523AA43C14-2" descr="C:/Users/wanglin4/AppData/Local/Temp/et.jDBynGe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5370" y="474345"/>
          <a:ext cx="8982075" cy="8612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7"/>
  <sheetViews>
    <sheetView tabSelected="1" workbookViewId="0">
      <selection activeCell="L10" sqref="L10"/>
    </sheetView>
  </sheetViews>
  <sheetFormatPr defaultColWidth="7.7" defaultRowHeight="14.25"/>
  <cols>
    <col min="1" max="1" width="5.64166666666667" style="74" customWidth="1"/>
    <col min="2" max="4" width="9.11666666666667" style="74" customWidth="1"/>
    <col min="5" max="5" width="13.4666666666667" style="74" customWidth="1"/>
    <col min="6" max="6" width="5.64166666666667" style="74" customWidth="1"/>
    <col min="7" max="11" width="9.11666666666667" style="74" customWidth="1"/>
    <col min="12" max="12" width="5.64166666666667" style="74" customWidth="1"/>
    <col min="13" max="18" width="9.11666666666667" style="74" customWidth="1"/>
    <col min="19" max="20" width="10.5833333333333" style="74" customWidth="1"/>
    <col min="21" max="16383" width="7.7" style="74"/>
  </cols>
  <sheetData>
    <row r="1" s="74" customFormat="1" ht="30" customHeight="1" spans="2:18">
      <c r="B1" s="75" t="s">
        <v>0</v>
      </c>
      <c r="C1" s="75"/>
      <c r="D1" s="75"/>
      <c r="E1" s="75"/>
      <c r="F1" s="76"/>
      <c r="G1" s="77" t="s">
        <v>1</v>
      </c>
      <c r="H1" s="77"/>
      <c r="I1" s="77"/>
      <c r="J1" s="77"/>
      <c r="K1" s="77"/>
      <c r="L1" s="76"/>
      <c r="M1" s="78" t="s">
        <v>2</v>
      </c>
      <c r="N1" s="78"/>
      <c r="O1" s="78"/>
      <c r="P1" s="78"/>
      <c r="Q1" s="78"/>
      <c r="R1" s="78"/>
    </row>
    <row r="2" s="74" customFormat="1" ht="30" customHeight="1" spans="2:18">
      <c r="B2" s="79" t="s">
        <v>3</v>
      </c>
      <c r="C2" s="79"/>
      <c r="D2" s="79"/>
      <c r="E2" s="79"/>
      <c r="F2" s="80"/>
      <c r="G2" s="81" t="s">
        <v>4</v>
      </c>
      <c r="H2" s="81"/>
      <c r="I2" s="81"/>
      <c r="J2" s="81"/>
      <c r="K2" s="81"/>
      <c r="L2" s="80"/>
      <c r="M2" s="82" t="s">
        <v>5</v>
      </c>
      <c r="N2" s="82"/>
      <c r="O2" s="82"/>
      <c r="P2" s="82"/>
      <c r="Q2" s="82"/>
      <c r="R2" s="82"/>
    </row>
    <row r="3" s="74" customFormat="1" ht="30" customHeight="1" spans="2:18">
      <c r="B3" s="83" t="s">
        <v>6</v>
      </c>
      <c r="C3" s="83" t="s">
        <v>7</v>
      </c>
      <c r="D3" s="83" t="s">
        <v>8</v>
      </c>
      <c r="E3" s="83" t="s">
        <v>9</v>
      </c>
      <c r="F3" s="84"/>
      <c r="G3" s="85" t="s">
        <v>6</v>
      </c>
      <c r="H3" s="85" t="s">
        <v>7</v>
      </c>
      <c r="I3" s="85" t="s">
        <v>10</v>
      </c>
      <c r="J3" s="85" t="s">
        <v>8</v>
      </c>
      <c r="K3" s="85" t="s">
        <v>11</v>
      </c>
      <c r="L3" s="84"/>
      <c r="M3" s="86" t="s">
        <v>6</v>
      </c>
      <c r="N3" s="86" t="s">
        <v>7</v>
      </c>
      <c r="O3" s="86" t="s">
        <v>10</v>
      </c>
      <c r="P3" s="86" t="s">
        <v>12</v>
      </c>
      <c r="Q3" s="86" t="s">
        <v>8</v>
      </c>
      <c r="R3" s="86" t="s">
        <v>13</v>
      </c>
    </row>
    <row r="4" s="74" customFormat="1" ht="30" customHeight="1" spans="2:18">
      <c r="B4" s="87" t="s">
        <v>14</v>
      </c>
      <c r="C4" s="87" t="s">
        <v>15</v>
      </c>
      <c r="D4" s="87" t="s">
        <v>16</v>
      </c>
      <c r="E4" s="87" t="s">
        <v>17</v>
      </c>
      <c r="F4" s="88" t="s">
        <v>18</v>
      </c>
      <c r="G4" s="89" t="s">
        <v>14</v>
      </c>
      <c r="H4" s="89" t="s">
        <v>15</v>
      </c>
      <c r="I4" s="89" t="s">
        <v>19</v>
      </c>
      <c r="J4" s="89" t="s">
        <v>16</v>
      </c>
      <c r="K4" s="89" t="s">
        <v>20</v>
      </c>
      <c r="L4" s="88" t="s">
        <v>18</v>
      </c>
      <c r="M4" s="90" t="s">
        <v>14</v>
      </c>
      <c r="N4" s="90" t="s">
        <v>15</v>
      </c>
      <c r="O4" s="90" t="s">
        <v>19</v>
      </c>
      <c r="P4" s="103" t="s">
        <v>21</v>
      </c>
      <c r="Q4" s="90" t="s">
        <v>16</v>
      </c>
      <c r="R4" s="90" t="s">
        <v>22</v>
      </c>
    </row>
    <row r="5" s="74" customFormat="1" ht="30" customHeight="1" spans="2:18">
      <c r="B5" s="87" t="s">
        <v>14</v>
      </c>
      <c r="C5" s="87" t="s">
        <v>23</v>
      </c>
      <c r="D5" s="87" t="s">
        <v>16</v>
      </c>
      <c r="E5" s="87" t="s">
        <v>24</v>
      </c>
      <c r="F5" s="88" t="s">
        <v>25</v>
      </c>
      <c r="G5" s="89" t="s">
        <v>26</v>
      </c>
      <c r="H5" s="89" t="s">
        <v>27</v>
      </c>
      <c r="I5" s="89" t="s">
        <v>28</v>
      </c>
      <c r="J5" s="89" t="s">
        <v>29</v>
      </c>
      <c r="K5" s="89" t="s">
        <v>30</v>
      </c>
      <c r="L5" s="88" t="s">
        <v>31</v>
      </c>
      <c r="M5" s="90" t="s">
        <v>26</v>
      </c>
      <c r="N5" s="90" t="s">
        <v>27</v>
      </c>
      <c r="O5" s="90" t="s">
        <v>28</v>
      </c>
      <c r="P5" s="103" t="s">
        <v>32</v>
      </c>
      <c r="Q5" s="90" t="s">
        <v>29</v>
      </c>
      <c r="R5" s="90" t="s">
        <v>30</v>
      </c>
    </row>
    <row r="6" s="74" customFormat="1" ht="30" customHeight="1" spans="2:18">
      <c r="B6" s="87" t="s">
        <v>14</v>
      </c>
      <c r="C6" s="87" t="s">
        <v>33</v>
      </c>
      <c r="D6" s="87" t="s">
        <v>16</v>
      </c>
      <c r="E6" s="87" t="s">
        <v>24</v>
      </c>
      <c r="F6" s="88"/>
      <c r="G6" s="89"/>
      <c r="H6" s="89"/>
      <c r="I6" s="89"/>
      <c r="J6" s="89"/>
      <c r="K6" s="89"/>
      <c r="L6" s="88"/>
      <c r="M6" s="90"/>
      <c r="N6" s="90"/>
      <c r="O6" s="90"/>
      <c r="P6" s="90"/>
      <c r="Q6" s="90"/>
      <c r="R6" s="90"/>
    </row>
    <row r="7" s="74" customFormat="1" ht="30" customHeight="1" spans="2:18">
      <c r="B7" s="87" t="s">
        <v>26</v>
      </c>
      <c r="C7" s="87" t="s">
        <v>27</v>
      </c>
      <c r="D7" s="87" t="s">
        <v>29</v>
      </c>
      <c r="E7" s="87" t="s">
        <v>34</v>
      </c>
      <c r="F7" s="88"/>
      <c r="G7" s="89"/>
      <c r="H7" s="89"/>
      <c r="I7" s="89"/>
      <c r="J7" s="89"/>
      <c r="K7" s="89"/>
      <c r="L7" s="88"/>
      <c r="M7" s="90"/>
      <c r="N7" s="90"/>
      <c r="O7" s="90"/>
      <c r="P7" s="90"/>
      <c r="Q7" s="90"/>
      <c r="R7" s="90"/>
    </row>
    <row r="8" s="74" customFormat="1" ht="30" customHeight="1" spans="2:18">
      <c r="B8" s="91" t="s">
        <v>35</v>
      </c>
      <c r="C8" s="91"/>
      <c r="D8" s="91" t="s">
        <v>35</v>
      </c>
      <c r="E8" s="91"/>
      <c r="F8" s="91"/>
      <c r="G8" s="91"/>
      <c r="H8" s="91"/>
      <c r="I8" s="91" t="s">
        <v>35</v>
      </c>
      <c r="J8" s="91"/>
      <c r="K8" s="91"/>
      <c r="L8" s="91"/>
      <c r="M8" s="91"/>
      <c r="N8" s="91"/>
      <c r="O8" s="91" t="s">
        <v>35</v>
      </c>
      <c r="P8" s="91"/>
      <c r="Q8" s="91"/>
      <c r="R8" s="91"/>
    </row>
    <row r="9" s="74" customFormat="1" ht="30" customHeight="1" spans="2:18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</row>
    <row r="10" s="74" customFormat="1" ht="30" customHeight="1" spans="2:18">
      <c r="B10" s="92" t="s">
        <v>0</v>
      </c>
      <c r="C10" s="91"/>
      <c r="D10" s="92" t="s">
        <v>36</v>
      </c>
      <c r="E10" s="92"/>
      <c r="F10" s="91"/>
      <c r="G10" s="91"/>
      <c r="H10" s="93" t="s">
        <v>36</v>
      </c>
      <c r="I10" s="93"/>
      <c r="J10" s="93"/>
      <c r="K10" s="91"/>
      <c r="L10" s="91"/>
      <c r="M10" s="91"/>
      <c r="N10" s="91"/>
      <c r="O10" s="94" t="s">
        <v>2</v>
      </c>
      <c r="P10" s="95"/>
      <c r="Q10" s="91"/>
      <c r="R10" s="91"/>
    </row>
    <row r="11" s="74" customFormat="1" ht="30" customHeight="1" spans="2:18">
      <c r="B11" s="87" t="s">
        <v>37</v>
      </c>
      <c r="C11" s="91"/>
      <c r="D11" s="96" t="s">
        <v>38</v>
      </c>
      <c r="E11" s="97"/>
      <c r="F11" s="91"/>
      <c r="G11" s="91"/>
      <c r="H11" s="93" t="s">
        <v>39</v>
      </c>
      <c r="I11" s="98" t="s">
        <v>40</v>
      </c>
      <c r="J11" s="98"/>
      <c r="K11" s="91"/>
      <c r="L11" s="91"/>
      <c r="M11" s="91"/>
      <c r="N11" s="91"/>
      <c r="O11" s="78" t="s">
        <v>41</v>
      </c>
      <c r="P11" s="78"/>
      <c r="Q11" s="91"/>
      <c r="R11" s="91"/>
    </row>
    <row r="12" s="74" customFormat="1" ht="30" customHeight="1" spans="2:18">
      <c r="B12" s="91"/>
      <c r="C12" s="91"/>
      <c r="D12" s="87" t="s">
        <v>42</v>
      </c>
      <c r="E12" s="99" t="s">
        <v>43</v>
      </c>
      <c r="F12" s="91"/>
      <c r="G12" s="91"/>
      <c r="H12" s="91"/>
      <c r="I12" s="91"/>
      <c r="J12" s="91"/>
      <c r="K12" s="91"/>
      <c r="L12" s="91"/>
      <c r="M12" s="91"/>
      <c r="N12" s="91"/>
      <c r="O12" s="94" t="s">
        <v>44</v>
      </c>
      <c r="P12" s="95"/>
      <c r="Q12" s="91"/>
      <c r="R12" s="91"/>
    </row>
    <row r="13" s="74" customFormat="1" ht="30" customHeight="1" spans="2:18">
      <c r="B13" s="91"/>
      <c r="C13" s="91"/>
      <c r="D13" s="87" t="s">
        <v>39</v>
      </c>
      <c r="E13" s="99" t="s">
        <v>45</v>
      </c>
      <c r="F13" s="91"/>
      <c r="G13" s="91"/>
      <c r="H13" s="100"/>
      <c r="I13" s="91"/>
      <c r="J13" s="91"/>
      <c r="K13" s="91"/>
      <c r="L13" s="91"/>
      <c r="M13" s="91"/>
      <c r="N13" s="91"/>
      <c r="O13" s="91"/>
      <c r="P13" s="91"/>
      <c r="Q13" s="91"/>
      <c r="R13" s="91"/>
    </row>
    <row r="14" ht="30" customHeight="1" spans="2:18">
      <c r="B14" s="91"/>
      <c r="C14" s="91"/>
      <c r="D14" s="100"/>
      <c r="E14" s="100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</row>
    <row r="15" ht="30" customHeight="1" spans="2:18">
      <c r="B15" s="101"/>
      <c r="C15" s="91"/>
      <c r="D15" s="100"/>
      <c r="E15" s="100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</row>
    <row r="16" ht="30" customHeight="1" spans="2:18">
      <c r="B16" s="101"/>
      <c r="C16" s="91"/>
      <c r="D16" s="100"/>
      <c r="E16" s="100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</row>
    <row r="17" ht="30" customHeight="1" spans="2:18">
      <c r="B17" s="101"/>
      <c r="C17" s="91"/>
      <c r="D17" s="100"/>
      <c r="E17" s="100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</row>
    <row r="18" ht="30" customHeight="1" spans="2:18">
      <c r="B18" s="101"/>
      <c r="C18" s="91"/>
      <c r="D18" s="100"/>
      <c r="E18" s="100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</row>
    <row r="19" ht="20" customHeight="1" spans="2:18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</row>
    <row r="20" ht="20" customHeight="1" spans="2:18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</row>
    <row r="21" ht="20" customHeight="1" spans="2:18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</row>
    <row r="22" ht="20" customHeight="1" spans="2:18">
      <c r="D22" s="102"/>
      <c r="E22" s="102"/>
    </row>
    <row r="23" ht="20" customHeight="1"/>
    <row r="24" ht="20" customHeight="1"/>
    <row r="25" ht="20" customHeight="1"/>
    <row r="26" ht="20" customHeight="1"/>
    <row r="27" ht="20" customHeight="1"/>
  </sheetData>
  <mergeCells count="18">
    <mergeCell ref="B1:E1"/>
    <mergeCell ref="G1:K1"/>
    <mergeCell ref="M1:R1"/>
    <mergeCell ref="B2:E2"/>
    <mergeCell ref="G2:K2"/>
    <mergeCell ref="M2:R2"/>
    <mergeCell ref="D10:E10"/>
    <mergeCell ref="H10:J10"/>
    <mergeCell ref="O10:P10"/>
    <mergeCell ref="D11:E11"/>
    <mergeCell ref="I11:J11"/>
    <mergeCell ref="O11:P11"/>
    <mergeCell ref="O12:P12"/>
    <mergeCell ref="B8:B9"/>
    <mergeCell ref="H8:H9"/>
    <mergeCell ref="I8:I9"/>
    <mergeCell ref="D8:E9"/>
    <mergeCell ref="O8:P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5" zoomScaleNormal="115" topLeftCell="A17" workbookViewId="0">
      <selection activeCell="R28" sqref="R28"/>
    </sheetView>
  </sheetViews>
  <sheetFormatPr defaultColWidth="9" defaultRowHeight="15.7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V25"/>
  <sheetViews>
    <sheetView workbookViewId="0">
      <selection activeCell="B14" sqref="B14"/>
    </sheetView>
  </sheetViews>
  <sheetFormatPr defaultColWidth="9" defaultRowHeight="14.25" customHeight="1"/>
  <cols>
    <col min="1" max="1" width="12.8166666666667" customWidth="1"/>
    <col min="2" max="2" width="17.4666666666667" customWidth="1"/>
    <col min="3" max="4" width="12.8166666666667" customWidth="1"/>
    <col min="5" max="5" width="10.6416666666667" customWidth="1"/>
    <col min="6" max="6" width="20.6416666666667" customWidth="1"/>
    <col min="7" max="7" width="10.6416666666667" style="27" customWidth="1"/>
    <col min="8" max="8" width="20.6416666666667" style="27" customWidth="1"/>
    <col min="9" max="9" width="10.6416666666667" style="27" customWidth="1"/>
    <col min="10" max="10" width="20.6416666666667" style="27" customWidth="1"/>
    <col min="11" max="11" width="10.6416666666667" style="27" customWidth="1"/>
    <col min="12" max="12" width="20.6416666666667" style="27" customWidth="1"/>
    <col min="13" max="16" width="15.6416666666667" style="27" customWidth="1"/>
    <col min="17" max="17" width="28.6416666666667" style="27" customWidth="1"/>
    <col min="18" max="18" width="15.6416666666667" style="27" customWidth="1"/>
    <col min="19" max="19" width="9.35" style="27"/>
    <col min="20" max="22" width="15.6416666666667" customWidth="1"/>
    <col min="23" max="48" width="9" style="27"/>
  </cols>
  <sheetData>
    <row r="1" s="25" customFormat="1" ht="30" customHeight="1" spans="1:48">
      <c r="A1" s="56" t="s">
        <v>46</v>
      </c>
      <c r="B1" s="56" t="s">
        <v>47</v>
      </c>
      <c r="C1" s="56" t="s">
        <v>48</v>
      </c>
      <c r="D1" s="56" t="s">
        <v>49</v>
      </c>
      <c r="E1" s="57" t="s">
        <v>50</v>
      </c>
      <c r="F1" s="58"/>
      <c r="G1" s="59" t="s">
        <v>51</v>
      </c>
      <c r="H1" s="60"/>
      <c r="I1" s="60"/>
      <c r="J1" s="60"/>
      <c r="K1" s="60"/>
      <c r="L1" s="61"/>
      <c r="M1" s="56" t="s">
        <v>52</v>
      </c>
      <c r="N1" s="56" t="s">
        <v>53</v>
      </c>
      <c r="O1" s="56" t="s">
        <v>54</v>
      </c>
      <c r="P1" s="56" t="s">
        <v>55</v>
      </c>
      <c r="Q1" s="56" t="s">
        <v>56</v>
      </c>
      <c r="R1" s="56" t="s">
        <v>57</v>
      </c>
      <c r="S1" s="56" t="s">
        <v>58</v>
      </c>
      <c r="T1" s="56" t="s">
        <v>59</v>
      </c>
      <c r="U1" s="56" t="s">
        <v>60</v>
      </c>
      <c r="V1" s="56" t="s">
        <v>61</v>
      </c>
    </row>
    <row r="2" s="25" customFormat="1" ht="30" customHeight="1" spans="1:48">
      <c r="A2" s="62"/>
      <c r="B2" s="62"/>
      <c r="C2" s="62"/>
      <c r="D2" s="62"/>
      <c r="E2" s="3" t="s">
        <v>62</v>
      </c>
      <c r="F2" s="3" t="s">
        <v>63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62"/>
      <c r="N2" s="62"/>
      <c r="O2" s="62"/>
      <c r="P2" s="62"/>
      <c r="Q2" s="62"/>
      <c r="R2" s="62"/>
      <c r="S2" s="62"/>
      <c r="T2" s="62"/>
      <c r="U2" s="62"/>
      <c r="V2" s="62"/>
    </row>
    <row r="3" s="54" customFormat="1" ht="30" customHeight="1" spans="1:48">
      <c r="A3" s="104" t="s">
        <v>68</v>
      </c>
      <c r="B3" s="23" t="s">
        <v>69</v>
      </c>
      <c r="C3" s="63" t="s">
        <v>70</v>
      </c>
      <c r="D3" s="63"/>
      <c r="E3" s="23">
        <v>8883</v>
      </c>
      <c r="F3" s="23" t="s">
        <v>71</v>
      </c>
      <c r="G3" s="23">
        <v>8883</v>
      </c>
      <c r="H3" s="23" t="s">
        <v>71</v>
      </c>
      <c r="I3" s="23">
        <v>8301</v>
      </c>
      <c r="J3" s="23" t="s">
        <v>72</v>
      </c>
      <c r="K3" s="23"/>
      <c r="L3" s="23"/>
      <c r="M3" s="24">
        <v>46235</v>
      </c>
      <c r="N3" s="24">
        <v>46265</v>
      </c>
      <c r="O3" s="23">
        <v>10001188</v>
      </c>
      <c r="P3" s="23">
        <v>10001188</v>
      </c>
      <c r="Q3" s="64" t="s">
        <v>73</v>
      </c>
      <c r="R3" s="23">
        <v>7200000</v>
      </c>
      <c r="S3" s="23" t="s">
        <v>74</v>
      </c>
      <c r="T3" s="64"/>
      <c r="U3" s="64"/>
      <c r="V3" s="64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s="54" customFormat="1" ht="30" customHeight="1" spans="1:48">
      <c r="A4" s="104" t="s">
        <v>75</v>
      </c>
      <c r="B4" s="23" t="s">
        <v>69</v>
      </c>
      <c r="C4" s="63" t="s">
        <v>70</v>
      </c>
      <c r="D4" s="63"/>
      <c r="E4" s="23">
        <v>8883</v>
      </c>
      <c r="F4" s="23" t="s">
        <v>71</v>
      </c>
      <c r="G4" s="23">
        <v>8883</v>
      </c>
      <c r="H4" s="23" t="s">
        <v>71</v>
      </c>
      <c r="I4" s="23">
        <v>8311</v>
      </c>
      <c r="J4" s="23" t="s">
        <v>76</v>
      </c>
      <c r="K4" s="23"/>
      <c r="L4" s="23"/>
      <c r="M4" s="24">
        <v>46235</v>
      </c>
      <c r="N4" s="24">
        <v>46265</v>
      </c>
      <c r="O4" s="23">
        <v>10001188</v>
      </c>
      <c r="P4" s="23">
        <v>10001188</v>
      </c>
      <c r="Q4" s="64" t="s">
        <v>73</v>
      </c>
      <c r="R4" s="23">
        <v>7200000</v>
      </c>
      <c r="S4" s="23" t="s">
        <v>74</v>
      </c>
      <c r="T4" s="64"/>
      <c r="U4" s="64"/>
      <c r="V4" s="64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</row>
    <row r="5" s="54" customFormat="1" ht="30" customHeight="1" spans="1:48">
      <c r="A5" s="104" t="s">
        <v>77</v>
      </c>
      <c r="B5" s="23" t="s">
        <v>69</v>
      </c>
      <c r="C5" s="63" t="s">
        <v>70</v>
      </c>
      <c r="D5" s="63"/>
      <c r="E5" s="23">
        <v>8883</v>
      </c>
      <c r="F5" s="23" t="s">
        <v>71</v>
      </c>
      <c r="G5" s="23">
        <v>8883</v>
      </c>
      <c r="H5" s="23" t="s">
        <v>71</v>
      </c>
      <c r="I5" s="23">
        <v>8321</v>
      </c>
      <c r="J5" s="23" t="s">
        <v>78</v>
      </c>
      <c r="K5" s="23"/>
      <c r="L5" s="23"/>
      <c r="M5" s="24">
        <v>46235</v>
      </c>
      <c r="N5" s="24">
        <v>46265</v>
      </c>
      <c r="O5" s="23">
        <v>10001188</v>
      </c>
      <c r="P5" s="23">
        <v>10001188</v>
      </c>
      <c r="Q5" s="64" t="s">
        <v>73</v>
      </c>
      <c r="R5" s="23">
        <v>7200000</v>
      </c>
      <c r="S5" s="23" t="s">
        <v>74</v>
      </c>
      <c r="T5" s="64"/>
      <c r="U5" s="64"/>
      <c r="V5" s="64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</row>
    <row r="6" s="54" customFormat="1" ht="30" customHeight="1" spans="1:48">
      <c r="A6" s="104" t="s">
        <v>79</v>
      </c>
      <c r="B6" s="23" t="s">
        <v>69</v>
      </c>
      <c r="C6" s="63" t="s">
        <v>70</v>
      </c>
      <c r="D6" s="63"/>
      <c r="E6" s="23">
        <v>8885</v>
      </c>
      <c r="F6" s="23" t="s">
        <v>80</v>
      </c>
      <c r="G6" s="23">
        <v>8885</v>
      </c>
      <c r="H6" s="23" t="s">
        <v>80</v>
      </c>
      <c r="I6" s="23">
        <v>8501</v>
      </c>
      <c r="J6" s="23" t="s">
        <v>81</v>
      </c>
      <c r="K6" s="23"/>
      <c r="L6" s="23"/>
      <c r="M6" s="24">
        <v>46235</v>
      </c>
      <c r="N6" s="24">
        <v>46265</v>
      </c>
      <c r="O6" s="23">
        <v>10001188</v>
      </c>
      <c r="P6" s="23">
        <v>10001188</v>
      </c>
      <c r="Q6" s="64" t="s">
        <v>73</v>
      </c>
      <c r="R6" s="23">
        <v>2400000</v>
      </c>
      <c r="S6" s="23" t="s">
        <v>74</v>
      </c>
      <c r="T6" s="64"/>
      <c r="U6" s="64"/>
      <c r="V6" s="64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="54" customFormat="1" ht="30" customHeight="1" spans="1:48">
      <c r="A7" s="104" t="s">
        <v>82</v>
      </c>
      <c r="B7" s="23" t="s">
        <v>69</v>
      </c>
      <c r="C7" s="63" t="s">
        <v>70</v>
      </c>
      <c r="D7" s="63"/>
      <c r="E7" s="23">
        <v>8885</v>
      </c>
      <c r="F7" s="23" t="s">
        <v>80</v>
      </c>
      <c r="G7" s="23">
        <v>8885</v>
      </c>
      <c r="H7" s="23" t="s">
        <v>80</v>
      </c>
      <c r="I7" s="23">
        <v>8511</v>
      </c>
      <c r="J7" s="23" t="s">
        <v>83</v>
      </c>
      <c r="K7" s="23"/>
      <c r="L7" s="23"/>
      <c r="M7" s="24">
        <v>46235</v>
      </c>
      <c r="N7" s="24">
        <v>46265</v>
      </c>
      <c r="O7" s="23">
        <v>10001188</v>
      </c>
      <c r="P7" s="23">
        <v>10001188</v>
      </c>
      <c r="Q7" s="64" t="s">
        <v>73</v>
      </c>
      <c r="R7" s="23">
        <v>4800000</v>
      </c>
      <c r="S7" s="23" t="s">
        <v>74</v>
      </c>
      <c r="T7" s="64"/>
      <c r="U7" s="64"/>
      <c r="V7" s="64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s="54" customFormat="1" ht="30" customHeight="1" spans="1:48">
      <c r="A8" s="104" t="s">
        <v>84</v>
      </c>
      <c r="B8" s="23" t="s">
        <v>69</v>
      </c>
      <c r="C8" s="63" t="s">
        <v>70</v>
      </c>
      <c r="D8" s="63"/>
      <c r="E8" s="23">
        <v>8885</v>
      </c>
      <c r="F8" s="23" t="s">
        <v>80</v>
      </c>
      <c r="G8" s="23">
        <v>8885</v>
      </c>
      <c r="H8" s="23" t="s">
        <v>80</v>
      </c>
      <c r="I8" s="23">
        <v>8521</v>
      </c>
      <c r="J8" s="23" t="s">
        <v>85</v>
      </c>
      <c r="K8" s="23"/>
      <c r="L8" s="23"/>
      <c r="M8" s="24">
        <v>46235</v>
      </c>
      <c r="N8" s="24">
        <v>46265</v>
      </c>
      <c r="O8" s="23">
        <v>10001188</v>
      </c>
      <c r="P8" s="23">
        <v>10001188</v>
      </c>
      <c r="Q8" s="64" t="s">
        <v>73</v>
      </c>
      <c r="R8" s="23">
        <v>7200000</v>
      </c>
      <c r="S8" s="23" t="s">
        <v>74</v>
      </c>
      <c r="T8" s="64"/>
      <c r="U8" s="64"/>
      <c r="V8" s="64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s="54" customFormat="1" ht="30" customHeight="1" spans="1:48">
      <c r="A9" s="104" t="s">
        <v>84</v>
      </c>
      <c r="B9" s="23" t="s">
        <v>69</v>
      </c>
      <c r="C9" s="63" t="s">
        <v>86</v>
      </c>
      <c r="D9" s="65">
        <v>46227</v>
      </c>
      <c r="E9" s="23">
        <v>8880</v>
      </c>
      <c r="F9" s="23" t="s">
        <v>87</v>
      </c>
      <c r="G9" s="23">
        <v>6865</v>
      </c>
      <c r="H9" s="23" t="s">
        <v>88</v>
      </c>
      <c r="I9" s="23">
        <v>6501</v>
      </c>
      <c r="J9" s="23" t="s">
        <v>89</v>
      </c>
      <c r="K9" s="23"/>
      <c r="L9" s="23"/>
      <c r="M9" s="24">
        <v>46235</v>
      </c>
      <c r="N9" s="24">
        <v>46265</v>
      </c>
      <c r="O9" s="23">
        <v>10001188</v>
      </c>
      <c r="P9" s="23">
        <v>10001188</v>
      </c>
      <c r="Q9" s="64" t="s">
        <v>73</v>
      </c>
      <c r="R9" s="23">
        <v>7200000</v>
      </c>
      <c r="S9" s="23" t="s">
        <v>74</v>
      </c>
      <c r="T9" s="64"/>
      <c r="U9" s="64"/>
      <c r="V9" s="64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="54" customFormat="1" ht="30" customHeight="1" spans="1:48">
      <c r="A10" s="23">
        <v>4900096725</v>
      </c>
      <c r="B10" s="23" t="s">
        <v>90</v>
      </c>
      <c r="C10" s="63" t="s">
        <v>70</v>
      </c>
      <c r="D10" s="63"/>
      <c r="E10" s="23">
        <v>8880</v>
      </c>
      <c r="F10" s="23" t="s">
        <v>87</v>
      </c>
      <c r="G10" s="23">
        <v>11000290</v>
      </c>
      <c r="H10" s="23" t="s">
        <v>91</v>
      </c>
      <c r="I10" s="23">
        <v>8095</v>
      </c>
      <c r="J10" s="23" t="s">
        <v>92</v>
      </c>
      <c r="K10" s="23">
        <v>9004</v>
      </c>
      <c r="L10" s="23" t="s">
        <v>93</v>
      </c>
      <c r="M10" s="24">
        <v>46235</v>
      </c>
      <c r="N10" s="24">
        <v>46265</v>
      </c>
      <c r="O10" s="23">
        <v>10001188</v>
      </c>
      <c r="P10" s="23">
        <v>10001188</v>
      </c>
      <c r="Q10" s="64" t="s">
        <v>73</v>
      </c>
      <c r="R10" s="23">
        <v>300000</v>
      </c>
      <c r="S10" s="23" t="s">
        <v>94</v>
      </c>
      <c r="T10" s="64">
        <v>4.377419</v>
      </c>
      <c r="U10" s="64">
        <v>0.082758</v>
      </c>
      <c r="V10" s="64">
        <f>(T10+U10)*R10</f>
        <v>1338053.1</v>
      </c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="54" customFormat="1" ht="30" customHeight="1" spans="1:48">
      <c r="A11" s="23">
        <v>4900100147</v>
      </c>
      <c r="B11" s="23" t="s">
        <v>90</v>
      </c>
      <c r="C11" s="63" t="s">
        <v>70</v>
      </c>
      <c r="D11" s="63"/>
      <c r="E11" s="23">
        <v>6867</v>
      </c>
      <c r="F11" s="23" t="s">
        <v>95</v>
      </c>
      <c r="G11" s="23">
        <v>19012942</v>
      </c>
      <c r="H11" s="23" t="s">
        <v>80</v>
      </c>
      <c r="I11" s="23">
        <v>6795</v>
      </c>
      <c r="J11" s="23" t="s">
        <v>96</v>
      </c>
      <c r="K11" s="23">
        <v>9004</v>
      </c>
      <c r="L11" s="23" t="s">
        <v>93</v>
      </c>
      <c r="M11" s="24">
        <v>46235</v>
      </c>
      <c r="N11" s="24">
        <v>46265</v>
      </c>
      <c r="O11" s="23">
        <v>11000321</v>
      </c>
      <c r="P11" s="23">
        <v>11000321</v>
      </c>
      <c r="Q11" s="64" t="s">
        <v>97</v>
      </c>
      <c r="R11" s="23">
        <v>300000</v>
      </c>
      <c r="S11" s="23" t="s">
        <v>94</v>
      </c>
      <c r="T11" s="64">
        <v>3.100885</v>
      </c>
      <c r="U11" s="64">
        <v>0</v>
      </c>
      <c r="V11" s="64">
        <f>(T11+U11)*R11</f>
        <v>930265.5</v>
      </c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s="54" customFormat="1" ht="30" customHeight="1" spans="1:48">
      <c r="A12" s="23">
        <v>4900100147</v>
      </c>
      <c r="B12" s="23" t="s">
        <v>90</v>
      </c>
      <c r="C12" s="63" t="s">
        <v>70</v>
      </c>
      <c r="D12" s="63"/>
      <c r="E12" s="23">
        <v>6867</v>
      </c>
      <c r="F12" s="23" t="s">
        <v>95</v>
      </c>
      <c r="G12" s="23"/>
      <c r="H12" s="23" t="s">
        <v>98</v>
      </c>
      <c r="I12" s="23">
        <v>6796</v>
      </c>
      <c r="J12" s="23" t="s">
        <v>99</v>
      </c>
      <c r="K12" s="23">
        <v>9004</v>
      </c>
      <c r="L12" s="23" t="s">
        <v>93</v>
      </c>
      <c r="M12" s="24">
        <v>46235</v>
      </c>
      <c r="N12" s="24">
        <v>46265</v>
      </c>
      <c r="O12" s="23">
        <v>11000321</v>
      </c>
      <c r="P12" s="23">
        <v>11000321</v>
      </c>
      <c r="Q12" s="64" t="s">
        <v>97</v>
      </c>
      <c r="R12" s="23">
        <v>300000</v>
      </c>
      <c r="S12" s="23" t="s">
        <v>94</v>
      </c>
      <c r="T12" s="64">
        <v>3.100885</v>
      </c>
      <c r="U12" s="64">
        <v>0</v>
      </c>
      <c r="V12" s="64">
        <f>(T12+U12)*R12</f>
        <v>930265.5</v>
      </c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="55" customFormat="1" ht="90" customHeight="1" spans="1:48">
      <c r="A13" s="66" t="s">
        <v>100</v>
      </c>
      <c r="B13" s="66" t="s">
        <v>101</v>
      </c>
      <c r="C13" s="66" t="s">
        <v>102</v>
      </c>
      <c r="D13" s="66" t="s">
        <v>102</v>
      </c>
      <c r="E13" s="66" t="s">
        <v>103</v>
      </c>
      <c r="F13" s="66"/>
      <c r="G13" s="67" t="s">
        <v>104</v>
      </c>
      <c r="H13" s="67"/>
      <c r="I13" s="68" t="s">
        <v>105</v>
      </c>
      <c r="J13" s="69"/>
      <c r="K13" s="68" t="s">
        <v>106</v>
      </c>
      <c r="L13" s="69"/>
      <c r="M13" s="70" t="s">
        <v>107</v>
      </c>
      <c r="N13" s="70" t="s">
        <v>107</v>
      </c>
      <c r="O13" s="70" t="s">
        <v>107</v>
      </c>
      <c r="P13" s="70" t="s">
        <v>107</v>
      </c>
      <c r="Q13" s="70" t="s">
        <v>107</v>
      </c>
      <c r="R13" s="70" t="s">
        <v>107</v>
      </c>
      <c r="S13" s="70" t="s">
        <v>107</v>
      </c>
      <c r="T13" s="70" t="s">
        <v>108</v>
      </c>
      <c r="U13" s="70" t="s">
        <v>108</v>
      </c>
      <c r="V13" s="70" t="s">
        <v>109</v>
      </c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="10" customFormat="1" ht="30" customHeight="1" spans="1:48">
      <c r="A14" s="71" t="s">
        <v>110</v>
      </c>
      <c r="B14" s="71" t="s">
        <v>111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T14"/>
      <c r="U14"/>
      <c r="V14"/>
    </row>
    <row r="15" s="10" customFormat="1" ht="30" customHeight="1" spans="1:48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T15"/>
      <c r="U15"/>
      <c r="V15"/>
    </row>
    <row r="16" s="10" customFormat="1" ht="30" customHeight="1" spans="1:48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T16"/>
      <c r="U16"/>
      <c r="V16"/>
    </row>
    <row r="17" s="10" customFormat="1" ht="30" customHeight="1" spans="1:22">
      <c r="A17" s="73"/>
      <c r="B17" s="73"/>
      <c r="C17" s="73"/>
      <c r="D17" s="73"/>
      <c r="E17" s="73"/>
      <c r="F17" s="73"/>
      <c r="T17"/>
      <c r="U17"/>
      <c r="V17"/>
    </row>
    <row r="18" s="10" customFormat="1" ht="30" customHeight="1" spans="1:22">
      <c r="A18" s="73"/>
      <c r="B18" s="73"/>
      <c r="C18" s="73"/>
      <c r="D18" s="73"/>
      <c r="E18" s="73"/>
      <c r="F18" s="73"/>
      <c r="T18"/>
      <c r="U18"/>
      <c r="V18"/>
    </row>
    <row r="19" s="10" customFormat="1" ht="30" customHeight="1" spans="1:22">
      <c r="A19" s="73"/>
      <c r="B19" s="73"/>
      <c r="C19" s="73"/>
      <c r="D19" s="73"/>
      <c r="E19" s="73"/>
      <c r="F19" s="73"/>
      <c r="T19"/>
      <c r="U19"/>
      <c r="V19"/>
    </row>
    <row r="20" s="10" customFormat="1" ht="30" customHeight="1" spans="1:22">
      <c r="A20" s="73"/>
      <c r="B20" s="73"/>
      <c r="C20" s="73"/>
      <c r="D20" s="73"/>
      <c r="E20" s="73"/>
      <c r="F20" s="73"/>
      <c r="T20"/>
      <c r="U20"/>
      <c r="V20"/>
    </row>
    <row r="21" s="10" customFormat="1" ht="30" customHeight="1" spans="1:22">
      <c r="A21" s="73"/>
      <c r="B21" s="73"/>
      <c r="C21" s="73"/>
      <c r="D21" s="73"/>
      <c r="E21" s="73"/>
      <c r="F21" s="73"/>
      <c r="T21"/>
      <c r="U21"/>
      <c r="V21"/>
    </row>
    <row r="22" s="10" customFormat="1" ht="30" customHeight="1" spans="1:22">
      <c r="A22" s="73"/>
      <c r="B22" s="73"/>
      <c r="C22" s="73"/>
      <c r="D22" s="73"/>
      <c r="E22" s="73"/>
      <c r="F22" s="73"/>
      <c r="T22"/>
      <c r="U22"/>
      <c r="V22"/>
    </row>
    <row r="23" s="10" customFormat="1" ht="30" customHeight="1" spans="1:22">
      <c r="T23"/>
      <c r="U23"/>
      <c r="V23"/>
    </row>
    <row r="24" s="10" customFormat="1" ht="30" customHeight="1" spans="1:22">
      <c r="T24"/>
      <c r="U24"/>
      <c r="V24"/>
    </row>
    <row r="25" ht="30" customHeight="1"/>
  </sheetData>
  <mergeCells count="20">
    <mergeCell ref="E1:F1"/>
    <mergeCell ref="G1:L1"/>
    <mergeCell ref="E13:F13"/>
    <mergeCell ref="G13:H13"/>
    <mergeCell ref="I13:J13"/>
    <mergeCell ref="K13:L13"/>
    <mergeCell ref="A1:A2"/>
    <mergeCell ref="B1:B2"/>
    <mergeCell ref="C1:C2"/>
    <mergeCell ref="D1:D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J11" sqref="J11"/>
    </sheetView>
  </sheetViews>
  <sheetFormatPr defaultColWidth="9" defaultRowHeight="15.75" outlineLevelCol="6"/>
  <cols>
    <col min="1" max="2" width="11.875" customWidth="1"/>
    <col min="3" max="3" width="11" customWidth="1"/>
    <col min="4" max="4" width="17.625" customWidth="1"/>
    <col min="5" max="5" width="13.875" customWidth="1"/>
    <col min="6" max="6" width="11.625" customWidth="1"/>
    <col min="7" max="8" width="20.6416666666667" customWidth="1"/>
  </cols>
  <sheetData>
    <row r="1" ht="63" customHeight="1" spans="1:7">
      <c r="A1" s="43" t="s">
        <v>112</v>
      </c>
      <c r="B1" s="43"/>
      <c r="C1" s="43"/>
      <c r="D1" s="43"/>
      <c r="E1" s="43"/>
      <c r="F1" s="43"/>
    </row>
    <row r="2" ht="31.05" customHeight="1" spans="1:7">
      <c r="A2" s="43"/>
      <c r="B2" s="43"/>
      <c r="C2" s="43"/>
      <c r="D2" s="43"/>
      <c r="E2" s="44"/>
      <c r="F2" s="44"/>
    </row>
    <row r="3" s="42" customFormat="1" ht="25.05" customHeight="1" spans="1:7">
      <c r="A3" s="45" t="s">
        <v>113</v>
      </c>
      <c r="B3" s="45" t="str">
        <f>生产计划明细!F9</f>
        <v>红牛维他命饮料有限公司</v>
      </c>
      <c r="C3" s="45"/>
      <c r="D3" s="45"/>
      <c r="E3" s="45"/>
      <c r="F3" s="45"/>
    </row>
    <row r="4" s="42" customFormat="1" ht="25.05" customHeight="1" spans="1:7">
      <c r="A4" s="45" t="s">
        <v>114</v>
      </c>
      <c r="B4" s="45" t="str">
        <f>生产计划明细!H9</f>
        <v>华彬快速消费品饮料（贵州）有限公司</v>
      </c>
      <c r="C4" s="45"/>
      <c r="D4" s="45"/>
      <c r="E4" s="45"/>
      <c r="F4" s="45"/>
    </row>
    <row r="5" s="42" customFormat="1" ht="25.05" customHeight="1" spans="1:7">
      <c r="A5" s="45"/>
      <c r="B5" s="45"/>
      <c r="C5" s="45"/>
      <c r="D5" s="45"/>
      <c r="E5" s="45"/>
      <c r="F5" s="45"/>
    </row>
    <row r="6" s="42" customFormat="1" ht="25.05" customHeight="1" spans="1:7">
      <c r="A6" s="45" t="s">
        <v>115</v>
      </c>
      <c r="B6" s="45"/>
      <c r="C6" s="45"/>
      <c r="D6" s="45"/>
      <c r="E6" s="45"/>
      <c r="F6" s="45"/>
    </row>
    <row r="7" s="42" customFormat="1" ht="25.05" customHeight="1" spans="1:7">
      <c r="A7" s="45"/>
      <c r="B7" s="45"/>
      <c r="C7" s="45"/>
      <c r="D7" s="45"/>
      <c r="E7" s="45"/>
      <c r="F7" s="45"/>
    </row>
    <row r="8" s="42" customFormat="1" ht="40.05" customHeight="1" spans="1:7">
      <c r="A8" s="46" t="s">
        <v>116</v>
      </c>
      <c r="B8" s="46" t="s">
        <v>54</v>
      </c>
      <c r="C8" s="46" t="s">
        <v>55</v>
      </c>
      <c r="D8" s="46" t="s">
        <v>56</v>
      </c>
      <c r="E8" s="46" t="s">
        <v>57</v>
      </c>
      <c r="F8" s="46" t="s">
        <v>58</v>
      </c>
    </row>
    <row r="9" s="42" customFormat="1" ht="72" customHeight="1" spans="1:7">
      <c r="A9" s="47">
        <f>生产计划明细!M9</f>
        <v>46235</v>
      </c>
      <c r="B9" s="48">
        <f>生产计划明细!O9</f>
        <v>10001188</v>
      </c>
      <c r="C9" s="48">
        <f>生产计划明细!P9</f>
        <v>10001188</v>
      </c>
      <c r="D9" s="48" t="str">
        <f>生产计划明细!Q9</f>
        <v>红牛维生素功能饮料/普通型/250ML/24/31周年纪念装</v>
      </c>
      <c r="E9" s="48">
        <f>生产计划明细!R9</f>
        <v>7200000</v>
      </c>
      <c r="F9" s="48" t="str">
        <f>生产计划明细!S9</f>
        <v>CAN</v>
      </c>
    </row>
    <row r="10" s="42" customFormat="1" ht="25.05" customHeight="1" spans="1:7">
      <c r="A10" s="49" t="s">
        <v>117</v>
      </c>
      <c r="B10" s="45"/>
      <c r="C10" s="45"/>
      <c r="D10" s="45"/>
      <c r="E10" s="45"/>
      <c r="F10" s="45"/>
    </row>
    <row r="11" s="42" customFormat="1" ht="25.05" customHeight="1" spans="1:7">
      <c r="A11" s="45"/>
      <c r="B11" s="45"/>
      <c r="C11" s="45"/>
      <c r="D11" s="45"/>
      <c r="E11" s="45"/>
      <c r="F11" s="45"/>
    </row>
    <row r="12" ht="25.05" customHeight="1" spans="1:7">
      <c r="A12" s="45"/>
      <c r="B12" s="45"/>
      <c r="C12" s="45"/>
      <c r="D12" s="45"/>
      <c r="E12" s="45"/>
      <c r="F12" s="45"/>
    </row>
    <row r="13" ht="59" customHeight="1" spans="1:7">
      <c r="A13" s="50" t="str">
        <f>B3</f>
        <v>红牛维他命饮料有限公司</v>
      </c>
      <c r="B13" s="50"/>
      <c r="C13" s="50"/>
      <c r="D13" s="51"/>
      <c r="E13" s="50" t="str">
        <f>B3</f>
        <v>红牛维他命饮料有限公司</v>
      </c>
      <c r="F13" s="50"/>
    </row>
    <row r="14" ht="25.05" customHeight="1" spans="1:7">
      <c r="A14" s="52">
        <f>生产计划明细!D9</f>
        <v>46227</v>
      </c>
      <c r="B14" s="51"/>
      <c r="C14" s="51"/>
      <c r="D14" s="51"/>
      <c r="E14" s="52">
        <f>生产计划明细!D9</f>
        <v>46227</v>
      </c>
      <c r="F14" s="52"/>
      <c r="G14" s="53"/>
    </row>
    <row r="15" ht="25.05" customHeight="1"/>
    <row r="16" ht="25.05" customHeight="1"/>
    <row r="17" ht="25.05" customHeight="1"/>
    <row r="18" ht="25.05" customHeight="1"/>
  </sheetData>
  <mergeCells count="5">
    <mergeCell ref="A1:F1"/>
    <mergeCell ref="A13:B13"/>
    <mergeCell ref="E13:F13"/>
    <mergeCell ref="A14:B14"/>
    <mergeCell ref="E14:F1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opLeftCell="A6" workbookViewId="0">
      <selection activeCell="A14" sqref="A14"/>
    </sheetView>
  </sheetViews>
  <sheetFormatPr defaultColWidth="8.875" defaultRowHeight="15.75"/>
  <cols>
    <col min="1" max="10" width="20.6416666666667" customWidth="1"/>
  </cols>
  <sheetData>
    <row r="1" ht="30" customHeight="1" spans="1:10">
      <c r="A1" s="35" t="s">
        <v>63</v>
      </c>
      <c r="B1" s="35" t="s">
        <v>65</v>
      </c>
      <c r="C1" s="35" t="s">
        <v>118</v>
      </c>
      <c r="D1" s="36">
        <v>46235</v>
      </c>
      <c r="E1" s="36">
        <v>46236</v>
      </c>
      <c r="F1" s="36">
        <v>46237</v>
      </c>
      <c r="G1" s="36">
        <v>46238</v>
      </c>
      <c r="H1" s="36">
        <v>46239</v>
      </c>
      <c r="I1" s="36">
        <v>46240</v>
      </c>
      <c r="J1" s="36">
        <v>46241</v>
      </c>
    </row>
    <row r="2" ht="50" customHeight="1" spans="1:10">
      <c r="A2" s="4" t="s">
        <v>80</v>
      </c>
      <c r="B2" s="4" t="s">
        <v>81</v>
      </c>
      <c r="C2" s="4" t="s">
        <v>119</v>
      </c>
      <c r="D2" s="4" t="s">
        <v>73</v>
      </c>
      <c r="E2" s="4" t="s">
        <v>73</v>
      </c>
      <c r="F2" s="4" t="s">
        <v>73</v>
      </c>
      <c r="G2" s="4" t="s">
        <v>73</v>
      </c>
      <c r="H2" s="4" t="s">
        <v>73</v>
      </c>
      <c r="I2" s="4" t="s">
        <v>73</v>
      </c>
      <c r="J2" s="4" t="s">
        <v>73</v>
      </c>
    </row>
    <row r="3" ht="50" customHeight="1" spans="1:10">
      <c r="A3" s="4" t="s">
        <v>80</v>
      </c>
      <c r="B3" s="4" t="s">
        <v>81</v>
      </c>
      <c r="C3" s="4" t="s">
        <v>120</v>
      </c>
      <c r="D3" s="4" t="s">
        <v>121</v>
      </c>
      <c r="E3" s="4" t="s">
        <v>121</v>
      </c>
      <c r="F3" s="4" t="s">
        <v>121</v>
      </c>
      <c r="G3" s="4" t="s">
        <v>121</v>
      </c>
      <c r="H3" s="37"/>
      <c r="I3" s="37"/>
      <c r="J3" s="37"/>
    </row>
    <row r="4" ht="50" customHeight="1" spans="1:10">
      <c r="A4" s="4" t="s">
        <v>80</v>
      </c>
      <c r="B4" s="4" t="s">
        <v>83</v>
      </c>
      <c r="C4" s="4" t="s">
        <v>122</v>
      </c>
      <c r="D4" s="4" t="s">
        <v>73</v>
      </c>
      <c r="E4" s="4" t="s">
        <v>73</v>
      </c>
      <c r="F4" s="4" t="s">
        <v>73</v>
      </c>
      <c r="G4" s="4" t="s">
        <v>73</v>
      </c>
      <c r="H4" s="4" t="s">
        <v>73</v>
      </c>
      <c r="I4" s="4" t="s">
        <v>73</v>
      </c>
      <c r="J4" s="4" t="s">
        <v>73</v>
      </c>
    </row>
    <row r="5" ht="50" customHeight="1" spans="1:10">
      <c r="A5" s="4" t="s">
        <v>80</v>
      </c>
      <c r="B5" s="4" t="s">
        <v>83</v>
      </c>
      <c r="C5" s="4" t="s">
        <v>123</v>
      </c>
      <c r="D5" s="4" t="s">
        <v>73</v>
      </c>
      <c r="E5" s="4" t="s">
        <v>73</v>
      </c>
      <c r="F5" s="4" t="s">
        <v>73</v>
      </c>
      <c r="G5" s="4" t="s">
        <v>73</v>
      </c>
      <c r="H5" s="4" t="s">
        <v>73</v>
      </c>
      <c r="I5" s="4" t="s">
        <v>73</v>
      </c>
      <c r="J5" s="4" t="s">
        <v>73</v>
      </c>
    </row>
    <row r="6" ht="50" customHeight="1" spans="1:10">
      <c r="A6" s="4" t="s">
        <v>80</v>
      </c>
      <c r="B6" s="4" t="s">
        <v>85</v>
      </c>
      <c r="C6" s="4" t="s">
        <v>124</v>
      </c>
      <c r="D6" s="4" t="s">
        <v>73</v>
      </c>
      <c r="E6" s="4" t="s">
        <v>73</v>
      </c>
      <c r="F6" s="4" t="s">
        <v>73</v>
      </c>
      <c r="G6" s="4" t="s">
        <v>73</v>
      </c>
      <c r="H6" s="4" t="s">
        <v>73</v>
      </c>
      <c r="I6" s="4" t="s">
        <v>73</v>
      </c>
      <c r="J6" s="4" t="s">
        <v>73</v>
      </c>
    </row>
    <row r="7" ht="50" customHeight="1" spans="1:10">
      <c r="A7" s="4" t="s">
        <v>80</v>
      </c>
      <c r="B7" s="4" t="s">
        <v>85</v>
      </c>
      <c r="C7" s="4" t="s">
        <v>125</v>
      </c>
      <c r="D7" s="4" t="s">
        <v>73</v>
      </c>
      <c r="E7" s="4" t="s">
        <v>73</v>
      </c>
      <c r="F7" s="4" t="s">
        <v>73</v>
      </c>
      <c r="G7" s="4" t="s">
        <v>73</v>
      </c>
      <c r="H7" s="4" t="s">
        <v>73</v>
      </c>
      <c r="I7" s="4" t="s">
        <v>73</v>
      </c>
      <c r="J7" s="4" t="s">
        <v>73</v>
      </c>
    </row>
    <row r="8" ht="50" customHeight="1" spans="1:10">
      <c r="A8" s="38" t="s">
        <v>87</v>
      </c>
      <c r="B8" s="38" t="s">
        <v>92</v>
      </c>
      <c r="C8" s="4" t="s">
        <v>121</v>
      </c>
      <c r="D8" s="4"/>
      <c r="E8" s="4"/>
      <c r="F8" s="4"/>
      <c r="G8" s="4"/>
      <c r="H8" s="4"/>
      <c r="I8" s="4"/>
      <c r="J8" s="4"/>
    </row>
    <row r="9" ht="50" customHeight="1" spans="1:10">
      <c r="A9" s="38" t="s">
        <v>95</v>
      </c>
      <c r="B9" s="38" t="s">
        <v>96</v>
      </c>
      <c r="C9" s="4" t="s">
        <v>121</v>
      </c>
      <c r="D9" s="4" t="s">
        <v>97</v>
      </c>
      <c r="E9" s="4" t="s">
        <v>126</v>
      </c>
      <c r="F9" s="4" t="s">
        <v>127</v>
      </c>
      <c r="G9" s="4" t="s">
        <v>121</v>
      </c>
      <c r="H9" s="4" t="s">
        <v>121</v>
      </c>
      <c r="I9" s="4" t="s">
        <v>121</v>
      </c>
      <c r="J9" s="4" t="s">
        <v>121</v>
      </c>
    </row>
    <row r="10" ht="50" customHeight="1" spans="1:10">
      <c r="A10" s="39"/>
      <c r="B10" s="39"/>
      <c r="C10" s="4" t="s">
        <v>121</v>
      </c>
      <c r="D10" s="4" t="s">
        <v>128</v>
      </c>
      <c r="E10" s="4" t="s">
        <v>121</v>
      </c>
      <c r="F10" s="4" t="s">
        <v>121</v>
      </c>
      <c r="G10" s="4" t="s">
        <v>121</v>
      </c>
      <c r="H10" s="4" t="s">
        <v>121</v>
      </c>
      <c r="I10" s="4" t="s">
        <v>121</v>
      </c>
      <c r="J10" s="4" t="s">
        <v>121</v>
      </c>
    </row>
    <row r="11" ht="50" customHeight="1" spans="1:10">
      <c r="A11" s="38" t="s">
        <v>95</v>
      </c>
      <c r="B11" s="38" t="s">
        <v>99</v>
      </c>
      <c r="C11" s="4" t="s">
        <v>121</v>
      </c>
      <c r="D11" s="4" t="s">
        <v>121</v>
      </c>
      <c r="E11" s="4" t="s">
        <v>121</v>
      </c>
      <c r="F11" s="4" t="s">
        <v>121</v>
      </c>
      <c r="G11" s="4" t="s">
        <v>121</v>
      </c>
      <c r="H11" s="4" t="s">
        <v>129</v>
      </c>
      <c r="I11" s="4" t="s">
        <v>129</v>
      </c>
      <c r="J11" s="4" t="s">
        <v>129</v>
      </c>
    </row>
    <row r="12" ht="50" customHeight="1" spans="1:10">
      <c r="A12" s="39"/>
      <c r="B12" s="39"/>
      <c r="C12" s="4" t="s">
        <v>121</v>
      </c>
      <c r="D12" s="4" t="s">
        <v>121</v>
      </c>
      <c r="E12" s="4" t="s">
        <v>121</v>
      </c>
      <c r="F12" s="4" t="s">
        <v>121</v>
      </c>
      <c r="G12" s="4" t="s">
        <v>121</v>
      </c>
      <c r="H12" s="4" t="s">
        <v>121</v>
      </c>
      <c r="I12" s="4" t="s">
        <v>121</v>
      </c>
      <c r="J12" s="4" t="s">
        <v>127</v>
      </c>
    </row>
    <row r="13" ht="63" customHeight="1" spans="1:10">
      <c r="A13" s="40" t="s">
        <v>130</v>
      </c>
      <c r="B13" s="40"/>
      <c r="C13" s="40"/>
      <c r="D13" s="40"/>
      <c r="E13" s="40"/>
      <c r="F13" s="40"/>
      <c r="G13" s="40"/>
      <c r="H13" s="40"/>
      <c r="I13" s="40"/>
      <c r="J13" s="40"/>
    </row>
    <row r="14" customFormat="1" ht="30" customHeight="1"/>
    <row r="15" s="34" customFormat="1" ht="42" customHeight="1" spans="1:10">
      <c r="A15" s="34" t="s">
        <v>131</v>
      </c>
    </row>
    <row r="16" s="34" customFormat="1" ht="42" customHeight="1" spans="1:10">
      <c r="A16" s="41" t="s">
        <v>132</v>
      </c>
    </row>
    <row r="17" s="34" customFormat="1" ht="42" customHeight="1" spans="1:1">
      <c r="A17" s="41" t="s">
        <v>133</v>
      </c>
    </row>
    <row r="18" s="34" customFormat="1" ht="42" customHeight="1" spans="1:1">
      <c r="A18" s="41"/>
    </row>
    <row r="19" s="34" customFormat="1" ht="42" customHeight="1" spans="1:1">
      <c r="A19" s="41"/>
    </row>
    <row r="20" s="34" customFormat="1" ht="42" customHeight="1" spans="1:1">
      <c r="A20" s="41"/>
    </row>
    <row r="21" s="34" customFormat="1" ht="42" customHeight="1"/>
    <row r="22" s="34" customFormat="1" ht="42" customHeight="1"/>
    <row r="23" s="34" customFormat="1" ht="42" customHeight="1"/>
  </sheetData>
  <mergeCells count="4">
    <mergeCell ref="A9:A10"/>
    <mergeCell ref="A11:A12"/>
    <mergeCell ref="B9:B10"/>
    <mergeCell ref="B11:B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8"/>
  <sheetViews>
    <sheetView topLeftCell="A3" workbookViewId="0">
      <selection activeCell="K17" sqref="K17"/>
    </sheetView>
  </sheetViews>
  <sheetFormatPr defaultColWidth="9" defaultRowHeight="14.25" customHeight="1"/>
  <cols>
    <col min="1" max="1" width="27.35" style="27" customWidth="1"/>
    <col min="2" max="6" width="16.6416666666667" style="27" customWidth="1"/>
    <col min="7" max="11" width="15.6416666666667" style="27" customWidth="1"/>
    <col min="12" max="12" width="9.35" style="27"/>
    <col min="13" max="43" width="9" style="27"/>
  </cols>
  <sheetData>
    <row r="1" s="25" customFormat="1" ht="30" customHeight="1" spans="1:43">
      <c r="A1" s="3" t="s">
        <v>63</v>
      </c>
      <c r="B1" s="3" t="s">
        <v>62</v>
      </c>
      <c r="C1" s="3" t="s">
        <v>65</v>
      </c>
      <c r="D1" s="3" t="s">
        <v>64</v>
      </c>
      <c r="E1" s="3" t="s">
        <v>118</v>
      </c>
      <c r="F1" s="3" t="s">
        <v>134</v>
      </c>
      <c r="G1" s="21" t="s">
        <v>135</v>
      </c>
      <c r="H1" s="21" t="s">
        <v>54</v>
      </c>
      <c r="I1" s="21" t="s">
        <v>55</v>
      </c>
      <c r="J1" s="21" t="s">
        <v>56</v>
      </c>
      <c r="K1" s="21" t="s">
        <v>136</v>
      </c>
      <c r="L1" s="21" t="s">
        <v>58</v>
      </c>
    </row>
    <row r="2" s="26" customFormat="1" ht="30" customHeight="1" spans="1:43">
      <c r="A2" s="23" t="s">
        <v>71</v>
      </c>
      <c r="B2" s="23">
        <v>8883</v>
      </c>
      <c r="C2" s="23" t="s">
        <v>72</v>
      </c>
      <c r="D2" s="23">
        <v>8301</v>
      </c>
      <c r="E2" s="23" t="s">
        <v>137</v>
      </c>
      <c r="F2" s="23" t="s">
        <v>138</v>
      </c>
      <c r="G2" s="24">
        <v>46235</v>
      </c>
      <c r="H2" s="23">
        <v>10001188</v>
      </c>
      <c r="I2" s="23">
        <v>10001188</v>
      </c>
      <c r="J2" s="23" t="s">
        <v>73</v>
      </c>
      <c r="K2" s="23">
        <v>720000</v>
      </c>
      <c r="L2" s="23" t="s">
        <v>74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</row>
    <row r="3" s="26" customFormat="1" ht="30" customHeight="1" spans="1:43">
      <c r="A3" s="23" t="s">
        <v>71</v>
      </c>
      <c r="B3" s="23">
        <v>8883</v>
      </c>
      <c r="C3" s="23" t="s">
        <v>72</v>
      </c>
      <c r="D3" s="23">
        <v>8301</v>
      </c>
      <c r="E3" s="23" t="s">
        <v>139</v>
      </c>
      <c r="F3" s="23" t="s">
        <v>140</v>
      </c>
      <c r="G3" s="24">
        <v>46235</v>
      </c>
      <c r="H3" s="23">
        <v>10001188</v>
      </c>
      <c r="I3" s="23">
        <v>10001188</v>
      </c>
      <c r="J3" s="23" t="s">
        <v>73</v>
      </c>
      <c r="K3" s="23">
        <v>720000</v>
      </c>
      <c r="L3" s="23" t="s">
        <v>74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="26" customFormat="1" ht="30" customHeight="1" spans="1:43">
      <c r="A4" s="23" t="s">
        <v>71</v>
      </c>
      <c r="B4" s="23">
        <v>8883</v>
      </c>
      <c r="C4" s="23" t="s">
        <v>76</v>
      </c>
      <c r="D4" s="23">
        <v>8311</v>
      </c>
      <c r="E4" s="23" t="s">
        <v>141</v>
      </c>
      <c r="F4" s="23" t="s">
        <v>142</v>
      </c>
      <c r="G4" s="24">
        <v>46235</v>
      </c>
      <c r="H4" s="23">
        <v>10001188</v>
      </c>
      <c r="I4" s="23">
        <v>10001188</v>
      </c>
      <c r="J4" s="23" t="s">
        <v>73</v>
      </c>
      <c r="K4" s="23">
        <v>720000</v>
      </c>
      <c r="L4" s="23" t="s">
        <v>74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="26" customFormat="1" ht="30" customHeight="1" spans="1:43">
      <c r="A5" s="23" t="s">
        <v>71</v>
      </c>
      <c r="B5" s="23">
        <v>8883</v>
      </c>
      <c r="C5" s="23" t="s">
        <v>76</v>
      </c>
      <c r="D5" s="23">
        <v>8311</v>
      </c>
      <c r="E5" s="23" t="s">
        <v>143</v>
      </c>
      <c r="F5" s="23" t="s">
        <v>144</v>
      </c>
      <c r="G5" s="24">
        <v>46235</v>
      </c>
      <c r="H5" s="23">
        <v>10001188</v>
      </c>
      <c r="I5" s="23">
        <v>10001188</v>
      </c>
      <c r="J5" s="23" t="s">
        <v>73</v>
      </c>
      <c r="K5" s="23">
        <v>720000</v>
      </c>
      <c r="L5" s="23" t="s">
        <v>74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="26" customFormat="1" ht="30" customHeight="1" spans="1:43">
      <c r="A6" s="23" t="s">
        <v>71</v>
      </c>
      <c r="B6" s="23">
        <v>8883</v>
      </c>
      <c r="C6" s="23" t="s">
        <v>78</v>
      </c>
      <c r="D6" s="23">
        <v>8321</v>
      </c>
      <c r="E6" s="23" t="s">
        <v>145</v>
      </c>
      <c r="F6" s="23" t="s">
        <v>146</v>
      </c>
      <c r="G6" s="24">
        <v>46235</v>
      </c>
      <c r="H6" s="23">
        <v>10001188</v>
      </c>
      <c r="I6" s="23">
        <v>10001188</v>
      </c>
      <c r="J6" s="23" t="s">
        <v>73</v>
      </c>
      <c r="K6" s="23">
        <v>720000</v>
      </c>
      <c r="L6" s="23" t="s">
        <v>74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="26" customFormat="1" ht="30" customHeight="1" spans="1:43">
      <c r="A7" s="23" t="s">
        <v>71</v>
      </c>
      <c r="B7" s="23">
        <v>8883</v>
      </c>
      <c r="C7" s="23" t="s">
        <v>78</v>
      </c>
      <c r="D7" s="23">
        <v>8321</v>
      </c>
      <c r="E7" s="23" t="s">
        <v>147</v>
      </c>
      <c r="F7" s="23" t="s">
        <v>148</v>
      </c>
      <c r="G7" s="24">
        <v>46235</v>
      </c>
      <c r="H7" s="23">
        <v>10001188</v>
      </c>
      <c r="I7" s="23">
        <v>10001188</v>
      </c>
      <c r="J7" s="23" t="s">
        <v>73</v>
      </c>
      <c r="K7" s="23">
        <v>720000</v>
      </c>
      <c r="L7" s="23" t="s">
        <v>74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="26" customFormat="1" ht="30" customHeight="1" spans="1:43">
      <c r="A8" s="23" t="s">
        <v>80</v>
      </c>
      <c r="B8" s="23">
        <v>8885</v>
      </c>
      <c r="C8" s="23" t="s">
        <v>81</v>
      </c>
      <c r="D8" s="23">
        <v>8501</v>
      </c>
      <c r="E8" s="23" t="s">
        <v>119</v>
      </c>
      <c r="F8" s="23" t="s">
        <v>149</v>
      </c>
      <c r="G8" s="24">
        <v>46235</v>
      </c>
      <c r="H8" s="23">
        <v>10001188</v>
      </c>
      <c r="I8" s="23">
        <v>10001188</v>
      </c>
      <c r="J8" s="23" t="s">
        <v>73</v>
      </c>
      <c r="K8" s="23">
        <v>240000</v>
      </c>
      <c r="L8" s="23" t="s">
        <v>74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="26" customFormat="1" ht="30" customHeight="1" spans="1:43">
      <c r="A9" s="23" t="s">
        <v>80</v>
      </c>
      <c r="B9" s="23">
        <v>8885</v>
      </c>
      <c r="C9" s="23" t="s">
        <v>83</v>
      </c>
      <c r="D9" s="23">
        <v>8511</v>
      </c>
      <c r="E9" s="23" t="s">
        <v>122</v>
      </c>
      <c r="F9" s="23" t="s">
        <v>150</v>
      </c>
      <c r="G9" s="24">
        <v>46235</v>
      </c>
      <c r="H9" s="23">
        <v>10001188</v>
      </c>
      <c r="I9" s="23">
        <v>10001188</v>
      </c>
      <c r="J9" s="23" t="s">
        <v>73</v>
      </c>
      <c r="K9" s="23">
        <v>480000</v>
      </c>
      <c r="L9" s="23" t="s">
        <v>74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="26" customFormat="1" ht="30" customHeight="1" spans="1:43">
      <c r="A10" s="23" t="s">
        <v>80</v>
      </c>
      <c r="B10" s="23">
        <v>8885</v>
      </c>
      <c r="C10" s="23" t="s">
        <v>83</v>
      </c>
      <c r="D10" s="23">
        <v>8511</v>
      </c>
      <c r="E10" s="23" t="s">
        <v>123</v>
      </c>
      <c r="F10" s="23" t="s">
        <v>151</v>
      </c>
      <c r="G10" s="24">
        <v>46235</v>
      </c>
      <c r="H10" s="23">
        <v>10001188</v>
      </c>
      <c r="I10" s="23">
        <v>10001188</v>
      </c>
      <c r="J10" s="23" t="s">
        <v>73</v>
      </c>
      <c r="K10" s="23">
        <v>480000</v>
      </c>
      <c r="L10" s="23" t="s">
        <v>74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="26" customFormat="1" ht="30" customHeight="1" spans="1:43">
      <c r="A11" s="23" t="s">
        <v>80</v>
      </c>
      <c r="B11" s="23">
        <v>8885</v>
      </c>
      <c r="C11" s="23" t="s">
        <v>85</v>
      </c>
      <c r="D11" s="23">
        <v>8521</v>
      </c>
      <c r="E11" s="23" t="s">
        <v>124</v>
      </c>
      <c r="F11" s="23" t="s">
        <v>152</v>
      </c>
      <c r="G11" s="24">
        <v>46235</v>
      </c>
      <c r="H11" s="23">
        <v>10001188</v>
      </c>
      <c r="I11" s="23">
        <v>10001188</v>
      </c>
      <c r="J11" s="23" t="s">
        <v>73</v>
      </c>
      <c r="K11" s="23">
        <v>720000</v>
      </c>
      <c r="L11" s="23" t="s">
        <v>74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="26" customFormat="1" ht="30" customHeight="1" spans="1:43">
      <c r="A12" s="23" t="s">
        <v>80</v>
      </c>
      <c r="B12" s="23">
        <v>8885</v>
      </c>
      <c r="C12" s="23" t="s">
        <v>85</v>
      </c>
      <c r="D12" s="23">
        <v>8521</v>
      </c>
      <c r="E12" s="23" t="s">
        <v>125</v>
      </c>
      <c r="F12" s="23" t="s">
        <v>153</v>
      </c>
      <c r="G12" s="24">
        <v>46235</v>
      </c>
      <c r="H12" s="23">
        <v>10001188</v>
      </c>
      <c r="I12" s="23">
        <v>10001188</v>
      </c>
      <c r="J12" s="23" t="s">
        <v>73</v>
      </c>
      <c r="K12" s="23">
        <v>720000</v>
      </c>
      <c r="L12" s="23" t="s">
        <v>74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="26" customFormat="1" ht="30" customHeight="1" spans="1:43">
      <c r="A13" s="23" t="s">
        <v>87</v>
      </c>
      <c r="B13" s="23">
        <v>8880</v>
      </c>
      <c r="C13" s="23" t="s">
        <v>92</v>
      </c>
      <c r="D13" s="23">
        <v>8095</v>
      </c>
      <c r="E13" s="23" t="s">
        <v>121</v>
      </c>
      <c r="F13" s="23"/>
      <c r="G13" s="24">
        <v>46235</v>
      </c>
      <c r="H13" s="23">
        <v>10001188</v>
      </c>
      <c r="I13" s="23">
        <v>10001188</v>
      </c>
      <c r="J13" s="23" t="s">
        <v>73</v>
      </c>
      <c r="K13" s="23">
        <v>30000</v>
      </c>
      <c r="L13" s="23" t="s">
        <v>94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="26" customFormat="1" ht="30" customHeight="1" spans="1:43">
      <c r="A14" s="23" t="s">
        <v>95</v>
      </c>
      <c r="B14" s="23">
        <v>6867</v>
      </c>
      <c r="C14" s="23" t="s">
        <v>96</v>
      </c>
      <c r="D14" s="23">
        <v>6795</v>
      </c>
      <c r="E14" s="23" t="s">
        <v>121</v>
      </c>
      <c r="F14" s="23"/>
      <c r="G14" s="24">
        <v>46235</v>
      </c>
      <c r="H14" s="23">
        <v>11000321</v>
      </c>
      <c r="I14" s="23">
        <v>11000321</v>
      </c>
      <c r="J14" s="23" t="s">
        <v>97</v>
      </c>
      <c r="K14" s="23">
        <v>240000</v>
      </c>
      <c r="L14" s="23" t="s">
        <v>74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="26" customFormat="1" ht="30" customHeight="1" spans="1:43">
      <c r="A15" s="23" t="s">
        <v>95</v>
      </c>
      <c r="B15" s="23">
        <v>6867</v>
      </c>
      <c r="C15" s="23" t="s">
        <v>96</v>
      </c>
      <c r="D15" s="23">
        <v>6795</v>
      </c>
      <c r="E15" s="23" t="s">
        <v>121</v>
      </c>
      <c r="F15" s="23"/>
      <c r="G15" s="24">
        <v>46235</v>
      </c>
      <c r="H15" s="23">
        <v>11000370</v>
      </c>
      <c r="I15" s="23">
        <v>11000370</v>
      </c>
      <c r="J15" s="23" t="s">
        <v>128</v>
      </c>
      <c r="K15" s="23">
        <v>440000</v>
      </c>
      <c r="L15" s="23" t="s">
        <v>74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="26" customFormat="1" ht="30" customHeight="1" spans="1:43">
      <c r="A16" s="23" t="s">
        <v>95</v>
      </c>
      <c r="B16" s="23">
        <v>6867</v>
      </c>
      <c r="C16" s="23" t="s">
        <v>96</v>
      </c>
      <c r="D16" s="23">
        <v>6795</v>
      </c>
      <c r="E16" s="23" t="s">
        <v>121</v>
      </c>
      <c r="F16" s="23"/>
      <c r="G16" s="24">
        <v>46236</v>
      </c>
      <c r="H16" s="23">
        <v>11000371</v>
      </c>
      <c r="I16" s="23">
        <v>11000371</v>
      </c>
      <c r="J16" s="23" t="s">
        <v>126</v>
      </c>
      <c r="K16" s="23">
        <v>700000</v>
      </c>
      <c r="L16" s="23" t="s">
        <v>74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="26" customFormat="1" ht="78" customHeight="1" spans="1:43">
      <c r="A17" s="29" t="s">
        <v>154</v>
      </c>
      <c r="B17" s="29" t="s">
        <v>154</v>
      </c>
      <c r="C17" s="29" t="s">
        <v>154</v>
      </c>
      <c r="D17" s="29" t="s">
        <v>154</v>
      </c>
      <c r="E17" s="30" t="s">
        <v>155</v>
      </c>
      <c r="F17" s="31"/>
      <c r="G17" s="32" t="s">
        <v>156</v>
      </c>
      <c r="H17" s="29" t="s">
        <v>157</v>
      </c>
      <c r="I17" s="29" t="s">
        <v>157</v>
      </c>
      <c r="J17" s="29" t="s">
        <v>157</v>
      </c>
      <c r="K17" s="29" t="s">
        <v>158</v>
      </c>
      <c r="L17" s="29" t="s">
        <v>154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ht="24" customHeight="1" spans="1:43">
      <c r="A18" s="33" t="s">
        <v>159</v>
      </c>
    </row>
  </sheetData>
  <mergeCells count="1">
    <mergeCell ref="E17:F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opLeftCell="E11" workbookViewId="0">
      <selection activeCell="H13" sqref="H13"/>
    </sheetView>
  </sheetViews>
  <sheetFormatPr defaultColWidth="9" defaultRowHeight="15.75"/>
  <cols>
    <col min="1" max="6" width="15.6416666666667" customWidth="1"/>
    <col min="7" max="7" width="27.4666666666667" customWidth="1"/>
    <col min="8" max="8" width="13.7" customWidth="1"/>
    <col min="9" max="16" width="15.6416666666667" customWidth="1"/>
  </cols>
  <sheetData>
    <row r="1" ht="30" customHeight="1" spans="1:16">
      <c r="A1" s="14" t="s">
        <v>63</v>
      </c>
      <c r="B1" s="14" t="s">
        <v>62</v>
      </c>
      <c r="C1" s="14" t="s">
        <v>65</v>
      </c>
      <c r="D1" s="14" t="s">
        <v>64</v>
      </c>
      <c r="E1" s="3" t="s">
        <v>54</v>
      </c>
      <c r="F1" s="3" t="s">
        <v>55</v>
      </c>
      <c r="G1" s="3" t="s">
        <v>56</v>
      </c>
      <c r="H1" s="3" t="s">
        <v>160</v>
      </c>
      <c r="I1" s="3" t="s">
        <v>161</v>
      </c>
      <c r="J1" s="3" t="s">
        <v>162</v>
      </c>
      <c r="K1" s="15" t="s">
        <v>163</v>
      </c>
      <c r="L1" s="16"/>
      <c r="M1" s="16"/>
      <c r="N1" s="16"/>
      <c r="O1" s="16"/>
      <c r="P1" s="17"/>
    </row>
    <row r="2" ht="30" customHeight="1" spans="1:16">
      <c r="A2" s="18"/>
      <c r="B2" s="18" t="s">
        <v>62</v>
      </c>
      <c r="C2" s="18" t="s">
        <v>65</v>
      </c>
      <c r="D2" s="18" t="s">
        <v>64</v>
      </c>
      <c r="E2" s="19" t="s">
        <v>54</v>
      </c>
      <c r="F2" s="19" t="s">
        <v>55</v>
      </c>
      <c r="G2" s="19" t="s">
        <v>56</v>
      </c>
      <c r="H2" s="19"/>
      <c r="I2" s="19" t="s">
        <v>161</v>
      </c>
      <c r="J2" s="19" t="s">
        <v>162</v>
      </c>
      <c r="K2" s="20" t="s">
        <v>54</v>
      </c>
      <c r="L2" s="21" t="s">
        <v>55</v>
      </c>
      <c r="M2" s="21" t="s">
        <v>56</v>
      </c>
      <c r="N2" s="21" t="s">
        <v>164</v>
      </c>
      <c r="O2" s="21" t="s">
        <v>165</v>
      </c>
      <c r="P2" s="21" t="s">
        <v>166</v>
      </c>
    </row>
    <row r="3" ht="30" customHeight="1" spans="1:16">
      <c r="A3" s="22" t="s">
        <v>71</v>
      </c>
      <c r="B3" s="22">
        <v>8883</v>
      </c>
      <c r="C3" s="22" t="s">
        <v>72</v>
      </c>
      <c r="D3" s="22">
        <v>8301</v>
      </c>
      <c r="E3" s="23">
        <v>10001188</v>
      </c>
      <c r="F3" s="23">
        <v>10001188</v>
      </c>
      <c r="G3" s="23" t="s">
        <v>73</v>
      </c>
      <c r="H3" s="23">
        <v>1</v>
      </c>
      <c r="I3" s="24">
        <v>46023</v>
      </c>
      <c r="J3" s="24">
        <v>46387</v>
      </c>
      <c r="K3" s="23">
        <v>20000195</v>
      </c>
      <c r="L3" s="23" t="s">
        <v>167</v>
      </c>
      <c r="M3" s="23" t="s">
        <v>168</v>
      </c>
      <c r="N3" s="23">
        <v>10000</v>
      </c>
      <c r="O3" s="23" t="s">
        <v>169</v>
      </c>
      <c r="P3" s="23"/>
    </row>
    <row r="4" ht="30" customHeight="1" spans="1:16">
      <c r="A4" s="22" t="s">
        <v>71</v>
      </c>
      <c r="B4" s="22">
        <v>8883</v>
      </c>
      <c r="C4" s="22" t="s">
        <v>72</v>
      </c>
      <c r="D4" s="22">
        <v>8301</v>
      </c>
      <c r="E4" s="23">
        <v>10001188</v>
      </c>
      <c r="F4" s="23">
        <v>10001188</v>
      </c>
      <c r="G4" s="23" t="s">
        <v>73</v>
      </c>
      <c r="H4" s="23">
        <v>1</v>
      </c>
      <c r="I4" s="24">
        <v>46023</v>
      </c>
      <c r="J4" s="24">
        <v>46387</v>
      </c>
      <c r="K4" s="23">
        <v>20002271</v>
      </c>
      <c r="L4" s="23" t="s">
        <v>170</v>
      </c>
      <c r="M4" s="23" t="s">
        <v>171</v>
      </c>
      <c r="N4" s="23">
        <v>10000</v>
      </c>
      <c r="O4" s="23" t="s">
        <v>169</v>
      </c>
      <c r="P4" s="23" t="s">
        <v>172</v>
      </c>
    </row>
    <row r="5" ht="30" customHeight="1" spans="1:16">
      <c r="A5" s="22" t="s">
        <v>71</v>
      </c>
      <c r="B5" s="22">
        <v>8883</v>
      </c>
      <c r="C5" s="22" t="s">
        <v>72</v>
      </c>
      <c r="D5" s="22">
        <v>8301</v>
      </c>
      <c r="E5" s="23">
        <v>10001188</v>
      </c>
      <c r="F5" s="23">
        <v>10001188</v>
      </c>
      <c r="G5" s="23" t="s">
        <v>73</v>
      </c>
      <c r="H5" s="23">
        <v>1</v>
      </c>
      <c r="I5" s="24">
        <v>46023</v>
      </c>
      <c r="J5" s="24">
        <v>46387</v>
      </c>
      <c r="K5" s="23">
        <v>20002277</v>
      </c>
      <c r="L5" s="23" t="s">
        <v>173</v>
      </c>
      <c r="M5" s="23" t="s">
        <v>174</v>
      </c>
      <c r="N5" s="23">
        <v>416.67</v>
      </c>
      <c r="O5" s="23" t="s">
        <v>175</v>
      </c>
      <c r="P5" s="23" t="s">
        <v>172</v>
      </c>
    </row>
    <row r="6" ht="30" customHeight="1" spans="1:16">
      <c r="A6" s="22" t="s">
        <v>71</v>
      </c>
      <c r="B6" s="22">
        <v>8883</v>
      </c>
      <c r="C6" s="22" t="s">
        <v>72</v>
      </c>
      <c r="D6" s="22">
        <v>8301</v>
      </c>
      <c r="E6" s="23">
        <v>10001188</v>
      </c>
      <c r="F6" s="23">
        <v>10001188</v>
      </c>
      <c r="G6" s="23" t="s">
        <v>73</v>
      </c>
      <c r="H6" s="23">
        <v>1</v>
      </c>
      <c r="I6" s="24">
        <v>46023</v>
      </c>
      <c r="J6" s="24">
        <v>46387</v>
      </c>
      <c r="K6" s="23">
        <v>20000028</v>
      </c>
      <c r="L6" s="23" t="s">
        <v>176</v>
      </c>
      <c r="M6" s="23" t="s">
        <v>177</v>
      </c>
      <c r="N6" s="23">
        <v>12</v>
      </c>
      <c r="O6" s="23" t="s">
        <v>178</v>
      </c>
      <c r="P6" s="23" t="s">
        <v>172</v>
      </c>
    </row>
    <row r="7" ht="30" customHeight="1" spans="1:16">
      <c r="A7" s="22" t="s">
        <v>71</v>
      </c>
      <c r="B7" s="22">
        <v>8883</v>
      </c>
      <c r="C7" s="22" t="s">
        <v>72</v>
      </c>
      <c r="D7" s="22">
        <v>8301</v>
      </c>
      <c r="E7" s="23">
        <v>10001188</v>
      </c>
      <c r="F7" s="23">
        <v>10001188</v>
      </c>
      <c r="G7" s="23" t="s">
        <v>73</v>
      </c>
      <c r="H7" s="23">
        <v>1</v>
      </c>
      <c r="I7" s="24">
        <v>46023</v>
      </c>
      <c r="J7" s="24">
        <v>46387</v>
      </c>
      <c r="K7" s="23">
        <v>20000031</v>
      </c>
      <c r="L7" s="23" t="s">
        <v>179</v>
      </c>
      <c r="M7" s="23" t="s">
        <v>180</v>
      </c>
      <c r="N7" s="23">
        <v>0.4</v>
      </c>
      <c r="O7" s="23" t="s">
        <v>181</v>
      </c>
      <c r="P7" s="23" t="s">
        <v>172</v>
      </c>
    </row>
    <row r="8" ht="30" customHeight="1" spans="1:16">
      <c r="A8" s="22" t="s">
        <v>71</v>
      </c>
      <c r="B8" s="22">
        <v>8883</v>
      </c>
      <c r="C8" s="22" t="s">
        <v>72</v>
      </c>
      <c r="D8" s="22">
        <v>8301</v>
      </c>
      <c r="E8" s="23">
        <v>10001188</v>
      </c>
      <c r="F8" s="23">
        <v>10001188</v>
      </c>
      <c r="G8" s="23" t="s">
        <v>73</v>
      </c>
      <c r="H8" s="23">
        <v>1</v>
      </c>
      <c r="I8" s="24">
        <v>46023</v>
      </c>
      <c r="J8" s="24">
        <v>46387</v>
      </c>
      <c r="K8" s="23">
        <v>20000000</v>
      </c>
      <c r="L8" s="23" t="s">
        <v>182</v>
      </c>
      <c r="M8" s="23" t="s">
        <v>183</v>
      </c>
      <c r="N8" s="23">
        <v>302.78</v>
      </c>
      <c r="O8" s="23" t="s">
        <v>178</v>
      </c>
      <c r="P8" s="23" t="s">
        <v>172</v>
      </c>
    </row>
    <row r="9" ht="30" customHeight="1" spans="1:16">
      <c r="A9" s="22" t="s">
        <v>71</v>
      </c>
      <c r="B9" s="22">
        <v>8883</v>
      </c>
      <c r="C9" s="22" t="s">
        <v>72</v>
      </c>
      <c r="D9" s="22">
        <v>8301</v>
      </c>
      <c r="E9" s="23">
        <v>10001188</v>
      </c>
      <c r="F9" s="23">
        <v>10001188</v>
      </c>
      <c r="G9" s="23" t="s">
        <v>73</v>
      </c>
      <c r="H9" s="23">
        <v>1</v>
      </c>
      <c r="I9" s="24">
        <v>46023</v>
      </c>
      <c r="J9" s="24">
        <v>46387</v>
      </c>
      <c r="K9" s="23">
        <v>20000005</v>
      </c>
      <c r="L9" s="23" t="s">
        <v>184</v>
      </c>
      <c r="M9" s="23" t="s">
        <v>185</v>
      </c>
      <c r="N9" s="23">
        <v>0.5</v>
      </c>
      <c r="O9" s="23" t="s">
        <v>178</v>
      </c>
      <c r="P9" s="23" t="s">
        <v>172</v>
      </c>
    </row>
    <row r="10" ht="30" customHeight="1" spans="1:16">
      <c r="A10" s="22" t="s">
        <v>71</v>
      </c>
      <c r="B10" s="22">
        <v>8883</v>
      </c>
      <c r="C10" s="22" t="s">
        <v>72</v>
      </c>
      <c r="D10" s="22">
        <v>8301</v>
      </c>
      <c r="E10" s="23">
        <v>10001188</v>
      </c>
      <c r="F10" s="23">
        <v>10001188</v>
      </c>
      <c r="G10" s="23" t="s">
        <v>73</v>
      </c>
      <c r="H10" s="23">
        <v>1</v>
      </c>
      <c r="I10" s="24">
        <v>46023</v>
      </c>
      <c r="J10" s="24">
        <v>46387</v>
      </c>
      <c r="K10" s="23">
        <v>20000006</v>
      </c>
      <c r="L10" s="23" t="s">
        <v>186</v>
      </c>
      <c r="M10" s="23" t="s">
        <v>187</v>
      </c>
      <c r="N10" s="23">
        <v>1.25</v>
      </c>
      <c r="O10" s="23" t="s">
        <v>178</v>
      </c>
      <c r="P10" s="23" t="s">
        <v>172</v>
      </c>
    </row>
    <row r="11" ht="30" customHeight="1" spans="1:16">
      <c r="A11" s="22" t="s">
        <v>71</v>
      </c>
      <c r="B11" s="22">
        <v>8883</v>
      </c>
      <c r="C11" s="22" t="s">
        <v>72</v>
      </c>
      <c r="D11" s="22">
        <v>8301</v>
      </c>
      <c r="E11" s="23">
        <v>10001188</v>
      </c>
      <c r="F11" s="23">
        <v>10001188</v>
      </c>
      <c r="G11" s="23" t="s">
        <v>73</v>
      </c>
      <c r="H11" s="23">
        <v>1</v>
      </c>
      <c r="I11" s="24">
        <v>46023</v>
      </c>
      <c r="J11" s="24">
        <v>46387</v>
      </c>
      <c r="K11" s="23">
        <v>20000002</v>
      </c>
      <c r="L11" s="23" t="s">
        <v>188</v>
      </c>
      <c r="M11" s="23" t="s">
        <v>189</v>
      </c>
      <c r="N11" s="23">
        <v>0.5</v>
      </c>
      <c r="O11" s="23" t="s">
        <v>178</v>
      </c>
      <c r="P11" s="23" t="s">
        <v>172</v>
      </c>
    </row>
    <row r="12" ht="30" customHeight="1" spans="1:16">
      <c r="A12" s="22" t="s">
        <v>71</v>
      </c>
      <c r="B12" s="22">
        <v>8883</v>
      </c>
      <c r="C12" s="22" t="s">
        <v>72</v>
      </c>
      <c r="D12" s="22">
        <v>8301</v>
      </c>
      <c r="E12" s="23">
        <v>10001188</v>
      </c>
      <c r="F12" s="23">
        <v>10001188</v>
      </c>
      <c r="G12" s="23" t="s">
        <v>73</v>
      </c>
      <c r="H12" s="23">
        <v>1</v>
      </c>
      <c r="I12" s="24">
        <v>46023</v>
      </c>
      <c r="J12" s="24">
        <v>46387</v>
      </c>
      <c r="K12" s="23">
        <v>20000001</v>
      </c>
      <c r="L12" s="23" t="s">
        <v>190</v>
      </c>
      <c r="M12" s="23" t="s">
        <v>191</v>
      </c>
      <c r="N12" s="23">
        <v>0.5</v>
      </c>
      <c r="O12" s="23" t="s">
        <v>178</v>
      </c>
      <c r="P12" s="23" t="s">
        <v>172</v>
      </c>
    </row>
    <row r="13" ht="30" customHeight="1" spans="1:16">
      <c r="A13" s="22" t="s">
        <v>71</v>
      </c>
      <c r="B13" s="22">
        <v>8883</v>
      </c>
      <c r="C13" s="22" t="s">
        <v>72</v>
      </c>
      <c r="D13" s="22">
        <v>8301</v>
      </c>
      <c r="E13" s="23">
        <v>10001188</v>
      </c>
      <c r="F13" s="23">
        <v>10001188</v>
      </c>
      <c r="G13" s="23" t="s">
        <v>73</v>
      </c>
      <c r="H13" s="23">
        <v>1</v>
      </c>
      <c r="I13" s="24">
        <v>46023</v>
      </c>
      <c r="J13" s="24">
        <v>46387</v>
      </c>
      <c r="K13" s="23">
        <v>20000010</v>
      </c>
      <c r="L13" s="23" t="s">
        <v>192</v>
      </c>
      <c r="M13" s="23" t="s">
        <v>193</v>
      </c>
      <c r="N13" s="23">
        <v>0.1</v>
      </c>
      <c r="O13" s="23" t="s">
        <v>178</v>
      </c>
      <c r="P13" s="23" t="s">
        <v>172</v>
      </c>
    </row>
    <row r="14" ht="30" customHeight="1" spans="1:16">
      <c r="A14" s="22" t="s">
        <v>71</v>
      </c>
      <c r="B14" s="22">
        <v>8883</v>
      </c>
      <c r="C14" s="22" t="s">
        <v>72</v>
      </c>
      <c r="D14" s="22">
        <v>8301</v>
      </c>
      <c r="E14" s="23">
        <v>10001188</v>
      </c>
      <c r="F14" s="23">
        <v>10001188</v>
      </c>
      <c r="G14" s="23" t="s">
        <v>73</v>
      </c>
      <c r="H14" s="23">
        <v>1</v>
      </c>
      <c r="I14" s="24">
        <v>46023</v>
      </c>
      <c r="J14" s="24">
        <v>46387</v>
      </c>
      <c r="K14" s="23">
        <v>20000008</v>
      </c>
      <c r="L14" s="23" t="s">
        <v>194</v>
      </c>
      <c r="M14" s="23" t="s">
        <v>195</v>
      </c>
      <c r="N14" s="23">
        <v>10</v>
      </c>
      <c r="O14" s="23" t="s">
        <v>196</v>
      </c>
      <c r="P14" s="23" t="s">
        <v>172</v>
      </c>
    </row>
    <row r="15" ht="30" customHeight="1" spans="1:16">
      <c r="A15" s="22" t="s">
        <v>71</v>
      </c>
      <c r="B15" s="22">
        <v>8883</v>
      </c>
      <c r="C15" s="22" t="s">
        <v>72</v>
      </c>
      <c r="D15" s="22">
        <v>8301</v>
      </c>
      <c r="E15" s="23">
        <v>10001188</v>
      </c>
      <c r="F15" s="23">
        <v>10001188</v>
      </c>
      <c r="G15" s="23" t="s">
        <v>73</v>
      </c>
      <c r="H15" s="23">
        <v>1</v>
      </c>
      <c r="I15" s="24">
        <v>46023</v>
      </c>
      <c r="J15" s="24">
        <v>46387</v>
      </c>
      <c r="K15" s="23">
        <v>20000009</v>
      </c>
      <c r="L15" s="23" t="s">
        <v>197</v>
      </c>
      <c r="M15" s="23" t="s">
        <v>198</v>
      </c>
      <c r="N15" s="23">
        <v>0.03</v>
      </c>
      <c r="O15" s="23" t="s">
        <v>196</v>
      </c>
      <c r="P15" s="23" t="s">
        <v>172</v>
      </c>
    </row>
    <row r="16" ht="30" customHeight="1" spans="1:16">
      <c r="A16" s="22" t="s">
        <v>71</v>
      </c>
      <c r="B16" s="22">
        <v>8883</v>
      </c>
      <c r="C16" s="22" t="s">
        <v>72</v>
      </c>
      <c r="D16" s="22">
        <v>8301</v>
      </c>
      <c r="E16" s="23">
        <v>10001188</v>
      </c>
      <c r="F16" s="23">
        <v>10001188</v>
      </c>
      <c r="G16" s="23" t="s">
        <v>73</v>
      </c>
      <c r="H16" s="23">
        <v>1</v>
      </c>
      <c r="I16" s="24">
        <v>46023</v>
      </c>
      <c r="J16" s="24">
        <v>46387</v>
      </c>
      <c r="K16" s="23">
        <v>20000003</v>
      </c>
      <c r="L16" s="23" t="s">
        <v>199</v>
      </c>
      <c r="M16" s="23" t="s">
        <v>200</v>
      </c>
      <c r="N16" s="23">
        <v>8.19</v>
      </c>
      <c r="O16" s="23" t="s">
        <v>178</v>
      </c>
      <c r="P16" s="23" t="s">
        <v>172</v>
      </c>
    </row>
    <row r="17" ht="30" customHeight="1" spans="1:16">
      <c r="A17" s="22" t="s">
        <v>71</v>
      </c>
      <c r="B17" s="22">
        <v>8883</v>
      </c>
      <c r="C17" s="22" t="s">
        <v>72</v>
      </c>
      <c r="D17" s="22">
        <v>8301</v>
      </c>
      <c r="E17" s="23">
        <v>10001188</v>
      </c>
      <c r="F17" s="23">
        <v>10001188</v>
      </c>
      <c r="G17" s="23" t="s">
        <v>73</v>
      </c>
      <c r="H17" s="23">
        <v>1</v>
      </c>
      <c r="I17" s="24">
        <v>46023</v>
      </c>
      <c r="J17" s="24">
        <v>46387</v>
      </c>
      <c r="K17" s="23">
        <v>20000004</v>
      </c>
      <c r="L17" s="23" t="s">
        <v>201</v>
      </c>
      <c r="M17" s="23" t="s">
        <v>202</v>
      </c>
      <c r="N17" s="23">
        <v>4.28</v>
      </c>
      <c r="O17" s="23" t="s">
        <v>178</v>
      </c>
      <c r="P17" s="23" t="s">
        <v>172</v>
      </c>
    </row>
    <row r="18" ht="30" customHeight="1" spans="1:16">
      <c r="A18" s="22" t="s">
        <v>71</v>
      </c>
      <c r="B18" s="22">
        <v>8883</v>
      </c>
      <c r="C18" s="22" t="s">
        <v>72</v>
      </c>
      <c r="D18" s="22">
        <v>8301</v>
      </c>
      <c r="E18" s="23">
        <v>10001188</v>
      </c>
      <c r="F18" s="23">
        <v>10001188</v>
      </c>
      <c r="G18" s="23" t="s">
        <v>73</v>
      </c>
      <c r="H18" s="23">
        <v>1</v>
      </c>
      <c r="I18" s="24">
        <v>46023</v>
      </c>
      <c r="J18" s="24">
        <v>46387</v>
      </c>
      <c r="K18" s="23">
        <v>20000007</v>
      </c>
      <c r="L18" s="23" t="s">
        <v>203</v>
      </c>
      <c r="M18" s="23" t="s">
        <v>204</v>
      </c>
      <c r="N18" s="23">
        <v>0.47</v>
      </c>
      <c r="O18" s="23" t="s">
        <v>178</v>
      </c>
      <c r="P18" s="23" t="s">
        <v>172</v>
      </c>
    </row>
    <row r="19" ht="30" customHeight="1" spans="1:16">
      <c r="A19" s="22" t="s">
        <v>71</v>
      </c>
      <c r="B19" s="22">
        <v>8883</v>
      </c>
      <c r="C19" s="22" t="s">
        <v>72</v>
      </c>
      <c r="D19" s="22">
        <v>8301</v>
      </c>
      <c r="E19" s="23">
        <v>10001188</v>
      </c>
      <c r="F19" s="23">
        <v>10001188</v>
      </c>
      <c r="G19" s="23" t="s">
        <v>73</v>
      </c>
      <c r="H19" s="23">
        <v>1</v>
      </c>
      <c r="I19" s="24">
        <v>46023</v>
      </c>
      <c r="J19" s="24">
        <v>46387</v>
      </c>
      <c r="K19" s="23">
        <v>20000865</v>
      </c>
      <c r="L19" s="23" t="s">
        <v>205</v>
      </c>
      <c r="M19" s="23" t="s">
        <v>206</v>
      </c>
      <c r="N19" s="23">
        <v>4</v>
      </c>
      <c r="O19" s="23" t="s">
        <v>196</v>
      </c>
      <c r="P19" s="23" t="s">
        <v>172</v>
      </c>
    </row>
    <row r="20" ht="30" customHeight="1" spans="1:16">
      <c r="A20" s="22" t="s">
        <v>71</v>
      </c>
      <c r="B20" s="22">
        <v>8883</v>
      </c>
      <c r="C20" s="22" t="s">
        <v>72</v>
      </c>
      <c r="D20" s="22">
        <v>8301</v>
      </c>
      <c r="E20" s="23">
        <v>10001188</v>
      </c>
      <c r="F20" s="23">
        <v>10001188</v>
      </c>
      <c r="G20" s="23" t="s">
        <v>73</v>
      </c>
      <c r="H20" s="23">
        <v>1</v>
      </c>
      <c r="I20" s="24">
        <v>46023</v>
      </c>
      <c r="J20" s="24">
        <v>46387</v>
      </c>
      <c r="K20" s="23">
        <v>20000864</v>
      </c>
      <c r="L20" s="23" t="s">
        <v>207</v>
      </c>
      <c r="M20" s="23" t="s">
        <v>208</v>
      </c>
      <c r="N20" s="23">
        <v>0.03</v>
      </c>
      <c r="O20" s="23" t="s">
        <v>178</v>
      </c>
      <c r="P20" s="23" t="s">
        <v>172</v>
      </c>
    </row>
    <row r="21" ht="30" customHeight="1" spans="1:16">
      <c r="A21" s="22" t="s">
        <v>71</v>
      </c>
      <c r="B21" s="22">
        <v>8883</v>
      </c>
      <c r="C21" s="22" t="s">
        <v>72</v>
      </c>
      <c r="D21" s="22">
        <v>8301</v>
      </c>
      <c r="E21" s="23">
        <v>10001188</v>
      </c>
      <c r="F21" s="23">
        <v>10001188</v>
      </c>
      <c r="G21" s="23" t="s">
        <v>73</v>
      </c>
      <c r="H21" s="23">
        <v>1</v>
      </c>
      <c r="I21" s="24">
        <v>46023</v>
      </c>
      <c r="J21" s="24">
        <v>46387</v>
      </c>
      <c r="K21" s="23">
        <v>20000537</v>
      </c>
      <c r="L21" s="23" t="s">
        <v>209</v>
      </c>
      <c r="M21" s="23" t="s">
        <v>210</v>
      </c>
      <c r="N21" s="23">
        <v>0.833333333333333</v>
      </c>
      <c r="O21" s="23" t="s">
        <v>178</v>
      </c>
      <c r="P21" s="23" t="s">
        <v>172</v>
      </c>
    </row>
    <row r="22" ht="30" customHeight="1" spans="1:16">
      <c r="A22" s="22" t="s">
        <v>71</v>
      </c>
      <c r="B22" s="22">
        <v>8883</v>
      </c>
      <c r="C22" s="22" t="s">
        <v>72</v>
      </c>
      <c r="D22" s="22">
        <v>8301</v>
      </c>
      <c r="E22" s="23">
        <v>10001188</v>
      </c>
      <c r="F22" s="23">
        <v>10001188</v>
      </c>
      <c r="G22" s="23" t="s">
        <v>73</v>
      </c>
      <c r="H22" s="23">
        <v>1</v>
      </c>
      <c r="I22" s="24">
        <v>46023</v>
      </c>
      <c r="J22" s="24">
        <v>46387</v>
      </c>
      <c r="K22" s="23">
        <v>20001805</v>
      </c>
      <c r="L22" s="23" t="s">
        <v>211</v>
      </c>
      <c r="M22" s="23" t="s">
        <v>212</v>
      </c>
      <c r="N22" s="23">
        <v>0.694444444444444</v>
      </c>
      <c r="O22" s="23" t="s">
        <v>178</v>
      </c>
      <c r="P22" s="23" t="s">
        <v>172</v>
      </c>
    </row>
    <row r="23" ht="30" customHeight="1" spans="1:16">
      <c r="A23" s="22" t="s">
        <v>71</v>
      </c>
      <c r="B23" s="22">
        <v>8883</v>
      </c>
      <c r="C23" s="22" t="s">
        <v>72</v>
      </c>
      <c r="D23" s="22">
        <v>8301</v>
      </c>
      <c r="E23" s="23">
        <v>10001188</v>
      </c>
      <c r="F23" s="23">
        <v>10001188</v>
      </c>
      <c r="G23" s="23" t="s">
        <v>73</v>
      </c>
      <c r="H23" s="23">
        <v>1</v>
      </c>
      <c r="I23" s="24">
        <v>46023</v>
      </c>
      <c r="J23" s="24">
        <v>46387</v>
      </c>
      <c r="K23" s="23">
        <v>20001056</v>
      </c>
      <c r="L23" s="23" t="s">
        <v>213</v>
      </c>
      <c r="M23" s="23" t="s">
        <v>214</v>
      </c>
      <c r="N23" s="23">
        <v>1.25</v>
      </c>
      <c r="O23" s="23" t="s">
        <v>178</v>
      </c>
      <c r="P23" s="23" t="s">
        <v>172</v>
      </c>
    </row>
    <row r="24" ht="30" customHeight="1" spans="1:16">
      <c r="A24" s="22" t="s">
        <v>71</v>
      </c>
      <c r="B24" s="22">
        <v>8883</v>
      </c>
      <c r="C24" s="22" t="s">
        <v>72</v>
      </c>
      <c r="D24" s="22">
        <v>8301</v>
      </c>
      <c r="E24" s="23">
        <v>10001188</v>
      </c>
      <c r="F24" s="23">
        <v>10001188</v>
      </c>
      <c r="G24" s="23" t="s">
        <v>73</v>
      </c>
      <c r="H24" s="23">
        <v>1</v>
      </c>
      <c r="I24" s="24">
        <v>46023</v>
      </c>
      <c r="J24" s="24">
        <v>46387</v>
      </c>
      <c r="K24" s="23">
        <v>20001057</v>
      </c>
      <c r="L24" s="23" t="s">
        <v>215</v>
      </c>
      <c r="M24" s="23" t="s">
        <v>216</v>
      </c>
      <c r="N24" s="23">
        <v>1.25</v>
      </c>
      <c r="O24" s="23" t="s">
        <v>178</v>
      </c>
      <c r="P24" s="23" t="s">
        <v>172</v>
      </c>
    </row>
    <row r="25" ht="30" customHeight="1" spans="1:16">
      <c r="A25" s="22" t="s">
        <v>71</v>
      </c>
      <c r="B25" s="22">
        <v>8883</v>
      </c>
      <c r="C25" s="22" t="s">
        <v>72</v>
      </c>
      <c r="D25" s="22">
        <v>8301</v>
      </c>
      <c r="E25" s="23">
        <v>10001188</v>
      </c>
      <c r="F25" s="23">
        <v>10001188</v>
      </c>
      <c r="G25" s="23" t="s">
        <v>73</v>
      </c>
      <c r="H25" s="23">
        <v>1</v>
      </c>
      <c r="I25" s="24">
        <v>46023</v>
      </c>
      <c r="J25" s="24">
        <v>46387</v>
      </c>
      <c r="K25" s="23">
        <v>20001925</v>
      </c>
      <c r="L25" s="23" t="s">
        <v>217</v>
      </c>
      <c r="M25" s="23" t="s">
        <v>218</v>
      </c>
      <c r="N25" s="23">
        <v>1.66666666666667</v>
      </c>
      <c r="O25" s="23" t="s">
        <v>178</v>
      </c>
      <c r="P25" s="23" t="s">
        <v>172</v>
      </c>
    </row>
  </sheetData>
  <mergeCells count="11">
    <mergeCell ref="K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G12" sqref="G12"/>
    </sheetView>
  </sheetViews>
  <sheetFormatPr defaultColWidth="8.875" defaultRowHeight="15.75"/>
  <cols>
    <col min="1" max="12" width="15.5833333333333" customWidth="1"/>
    <col min="13" max="17" width="15.6416666666667" customWidth="1"/>
    <col min="18" max="20" width="9.35"/>
  </cols>
  <sheetData>
    <row r="1" ht="30" customHeight="1" spans="1:21">
      <c r="A1" s="3" t="s">
        <v>219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54</v>
      </c>
      <c r="M1" s="3" t="s">
        <v>55</v>
      </c>
      <c r="N1" s="3" t="s">
        <v>56</v>
      </c>
      <c r="O1" s="3" t="s">
        <v>226</v>
      </c>
    </row>
    <row r="2" ht="30" customHeight="1" spans="1:21">
      <c r="A2" s="4" t="s">
        <v>227</v>
      </c>
      <c r="B2" s="4">
        <v>6866</v>
      </c>
      <c r="C2" s="4" t="s">
        <v>228</v>
      </c>
      <c r="D2" s="4">
        <v>6601</v>
      </c>
      <c r="E2" s="4" t="s">
        <v>229</v>
      </c>
      <c r="F2" s="5">
        <v>46235</v>
      </c>
      <c r="G2" s="5">
        <v>46235</v>
      </c>
      <c r="H2" s="4">
        <v>100289549</v>
      </c>
      <c r="I2" s="4" t="s">
        <v>230</v>
      </c>
      <c r="J2" s="4">
        <v>240000</v>
      </c>
      <c r="K2" s="4" t="s">
        <v>74</v>
      </c>
      <c r="L2" s="4">
        <v>10001188</v>
      </c>
      <c r="M2" s="4">
        <v>10001188</v>
      </c>
      <c r="N2" s="4" t="s">
        <v>73</v>
      </c>
      <c r="O2" s="4" t="s">
        <v>231</v>
      </c>
    </row>
    <row r="3" ht="30" customHeight="1" spans="1:2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="1" customFormat="1" ht="57" customHeight="1" spans="1:21">
      <c r="A4" s="6" t="s">
        <v>232</v>
      </c>
      <c r="B4" s="6" t="s">
        <v>233</v>
      </c>
      <c r="C4" s="6" t="s">
        <v>233</v>
      </c>
      <c r="D4" s="6" t="s">
        <v>233</v>
      </c>
      <c r="E4" s="6" t="s">
        <v>233</v>
      </c>
      <c r="F4" s="6" t="s">
        <v>233</v>
      </c>
      <c r="G4" s="6" t="s">
        <v>233</v>
      </c>
      <c r="H4" s="6" t="s">
        <v>100</v>
      </c>
      <c r="I4" s="6" t="s">
        <v>234</v>
      </c>
      <c r="J4" s="6" t="s">
        <v>235</v>
      </c>
      <c r="K4" s="6" t="s">
        <v>233</v>
      </c>
      <c r="L4" s="7" t="s">
        <v>236</v>
      </c>
      <c r="M4" s="8"/>
      <c r="N4" s="9"/>
      <c r="O4" s="6" t="s">
        <v>237</v>
      </c>
    </row>
    <row r="5" ht="30" customHeight="1" spans="1:2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30" customHeight="1" spans="1:2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30" customHeight="1" spans="1:21">
      <c r="A7" s="3" t="s">
        <v>219</v>
      </c>
      <c r="B7" s="3" t="s">
        <v>222</v>
      </c>
      <c r="C7" s="3" t="s">
        <v>238</v>
      </c>
      <c r="D7" s="3" t="s">
        <v>239</v>
      </c>
      <c r="E7" s="3" t="s">
        <v>240</v>
      </c>
      <c r="F7" s="3" t="s">
        <v>241</v>
      </c>
      <c r="G7" s="3" t="s">
        <v>242</v>
      </c>
      <c r="H7" s="3" t="s">
        <v>58</v>
      </c>
      <c r="I7" s="3" t="s">
        <v>243</v>
      </c>
      <c r="J7" s="3" t="s">
        <v>58</v>
      </c>
      <c r="K7" s="3" t="s">
        <v>244</v>
      </c>
      <c r="L7" s="3" t="s">
        <v>245</v>
      </c>
      <c r="M7" s="3" t="s">
        <v>246</v>
      </c>
    </row>
    <row r="8" ht="30" customHeight="1" spans="1:21">
      <c r="A8" s="4" t="s">
        <v>247</v>
      </c>
      <c r="B8" s="4">
        <v>100289549</v>
      </c>
      <c r="C8" s="4">
        <v>24056</v>
      </c>
      <c r="D8" s="4">
        <v>5</v>
      </c>
      <c r="E8" s="4">
        <v>5</v>
      </c>
      <c r="F8" s="4" t="s">
        <v>74</v>
      </c>
      <c r="G8" s="4">
        <v>8</v>
      </c>
      <c r="H8" s="4" t="s">
        <v>248</v>
      </c>
      <c r="I8" s="4">
        <v>1</v>
      </c>
      <c r="J8" s="4" t="s">
        <v>249</v>
      </c>
      <c r="K8" s="4" t="s">
        <v>250</v>
      </c>
      <c r="L8" s="4">
        <v>6601</v>
      </c>
      <c r="M8" s="5">
        <v>46235</v>
      </c>
    </row>
    <row r="9" ht="30" customHeight="1" spans="1:2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="1" customFormat="1" ht="57" customHeight="1" spans="1:21">
      <c r="A10" s="6" t="s">
        <v>251</v>
      </c>
      <c r="B10" s="6" t="s">
        <v>252</v>
      </c>
      <c r="C10" s="6" t="s">
        <v>253</v>
      </c>
      <c r="D10" s="6" t="s">
        <v>254</v>
      </c>
      <c r="E10" s="6" t="s">
        <v>255</v>
      </c>
      <c r="F10" s="6"/>
      <c r="G10" s="6" t="s">
        <v>256</v>
      </c>
      <c r="H10" s="6" t="s">
        <v>257</v>
      </c>
      <c r="I10" s="6" t="s">
        <v>258</v>
      </c>
      <c r="J10" s="6" t="s">
        <v>259</v>
      </c>
      <c r="K10" s="6" t="s">
        <v>260</v>
      </c>
      <c r="L10" s="6" t="s">
        <v>261</v>
      </c>
      <c r="M10" s="6" t="s">
        <v>262</v>
      </c>
      <c r="Q10" s="11"/>
      <c r="U10" s="11"/>
    </row>
    <row r="11" s="2" customFormat="1" ht="55" customHeight="1"/>
    <row r="12" ht="30" customHeight="1" spans="1: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30" customHeight="1" spans="1:21">
      <c r="A13" s="3" t="s">
        <v>219</v>
      </c>
      <c r="B13" s="3" t="s">
        <v>263</v>
      </c>
      <c r="C13" s="3" t="s">
        <v>245</v>
      </c>
      <c r="D13" s="3" t="s">
        <v>264</v>
      </c>
      <c r="E13" s="3" t="s">
        <v>265</v>
      </c>
      <c r="F13" s="3" t="s">
        <v>54</v>
      </c>
      <c r="G13" s="3" t="s">
        <v>55</v>
      </c>
      <c r="H13" s="3" t="s">
        <v>56</v>
      </c>
      <c r="I13" s="3" t="s">
        <v>266</v>
      </c>
      <c r="J13" s="3" t="s">
        <v>225</v>
      </c>
      <c r="K13" s="3" t="s">
        <v>58</v>
      </c>
      <c r="L13" s="3" t="s">
        <v>267</v>
      </c>
      <c r="M13" s="3" t="s">
        <v>246</v>
      </c>
      <c r="N13" s="3" t="s">
        <v>268</v>
      </c>
      <c r="O13" s="3" t="s">
        <v>222</v>
      </c>
    </row>
    <row r="14" ht="30" customHeight="1" spans="1:21">
      <c r="A14" s="12" t="s">
        <v>269</v>
      </c>
      <c r="B14" s="12">
        <v>261</v>
      </c>
      <c r="C14" s="4">
        <v>6601</v>
      </c>
      <c r="D14" s="105" t="s">
        <v>270</v>
      </c>
      <c r="E14" s="106" t="s">
        <v>21</v>
      </c>
      <c r="F14" s="12">
        <v>20000000</v>
      </c>
      <c r="G14" s="12" t="s">
        <v>182</v>
      </c>
      <c r="H14" s="12" t="s">
        <v>183</v>
      </c>
      <c r="I14" s="12" t="s">
        <v>271</v>
      </c>
      <c r="J14" s="12">
        <v>1090</v>
      </c>
      <c r="K14" s="12" t="s">
        <v>178</v>
      </c>
      <c r="L14" s="5">
        <v>46235</v>
      </c>
      <c r="M14" s="5">
        <v>46235</v>
      </c>
      <c r="N14" s="12">
        <v>1</v>
      </c>
      <c r="O14" s="12">
        <v>100289549</v>
      </c>
    </row>
    <row r="15" ht="30" customHeight="1" spans="1:21">
      <c r="A15" s="12"/>
      <c r="B15" s="12"/>
      <c r="C15" s="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="1" customFormat="1" ht="57" customHeight="1" spans="1:21">
      <c r="A16" s="6" t="s">
        <v>44</v>
      </c>
      <c r="B16" s="6" t="s">
        <v>272</v>
      </c>
      <c r="C16" s="6" t="s">
        <v>261</v>
      </c>
      <c r="D16" s="6" t="s">
        <v>273</v>
      </c>
      <c r="E16" s="6" t="s">
        <v>274</v>
      </c>
      <c r="F16" s="6" t="s">
        <v>275</v>
      </c>
      <c r="G16" s="6" t="s">
        <v>275</v>
      </c>
      <c r="H16" s="6" t="s">
        <v>275</v>
      </c>
      <c r="I16" s="6" t="s">
        <v>276</v>
      </c>
      <c r="J16" s="6" t="s">
        <v>277</v>
      </c>
      <c r="K16" s="6" t="s">
        <v>278</v>
      </c>
      <c r="L16" s="6" t="s">
        <v>279</v>
      </c>
      <c r="M16" s="6" t="s">
        <v>279</v>
      </c>
      <c r="N16" s="6" t="s">
        <v>280</v>
      </c>
      <c r="O16" s="6" t="s">
        <v>252</v>
      </c>
      <c r="P16" s="1"/>
      <c r="Q16" s="11"/>
      <c r="R16" s="1"/>
      <c r="U16" s="11"/>
    </row>
  </sheetData>
  <mergeCells count="1">
    <mergeCell ref="L4:N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ECB019B1-382A-4266-B25C-5B523AA43C14-2">
      <extobjdata type="ECB019B1-382A-4266-B25C-5B523AA43C14" data="ewoJIkZpbGVJZCIgOiAiNTUxMTk3NjIyNDc1IiwKCSJHcm91cElkIiA6ICIyNjQ5ODE1MDM3IiwKCSJJbWFnZSIgOiAiIiwKCSJUaGVtZSIgOiAiIiwKCSJUeXBlIiA6ICJmbG93IiwKCSJVc2VySWQiIDogIiIsCgkiVmVyc2lvbiIgOiAiIgp9Cg=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关联关系</vt:lpstr>
      <vt:lpstr>流程</vt:lpstr>
      <vt:lpstr>生产计划明细</vt:lpstr>
      <vt:lpstr>委托生产订单</vt:lpstr>
      <vt:lpstr>排产计划汇总</vt:lpstr>
      <vt:lpstr>排产计划明细</vt:lpstr>
      <vt:lpstr>BOM</vt:lpstr>
      <vt:lpstr>生产订单相关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王琳</cp:lastModifiedBy>
  <dcterms:created xsi:type="dcterms:W3CDTF">2006-09-16T00:00:00Z</dcterms:created>
  <dcterms:modified xsi:type="dcterms:W3CDTF">2026-08-25T08:33:10Z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AD86B70733E8486684207ED2DE620C17_13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