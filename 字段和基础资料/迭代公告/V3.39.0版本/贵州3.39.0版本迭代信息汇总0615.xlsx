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安全板块" sheetId="5" r:id="rId5"/>
    <sheet name="设备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<sst xmlns="http://schemas.openxmlformats.org/spreadsheetml/2006/main">
  <si>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贵州基地-数智工厂3.39.0版本迭代概览</t>
  </si>
  <si>
    <t>本次试用迭代</t>
  </si>
  <si>
    <t>基地试用周期</t>
  </si>
  <si>
    <t>06月15日-06月22日（共8天）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</si>
  <si>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</si>
  <si>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</si>
  <si>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</si>
  <si>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</si>
  <si>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</si>
  <si>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</si>
  <si>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</si>
  <si>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</si>
  <si>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</si>
  <si>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</si>
  <si>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</si>
  <si>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</si>
  <si>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</si>
  <si>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</si>
  <si>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</si>
  <si>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</si>
  <si>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</si>
  <si>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贵州基地-仓储板块-2026年06月15日系统更新内容</t>
  </si>
  <si>
    <t>类型</t>
  </si>
  <si>
    <t>单据</t>
  </si>
  <si>
    <t>内容</t>
  </si>
  <si>
    <t>备注</t>
  </si>
  <si>
    <t>新增功能</t>
  </si>
  <si>
    <t xml:space="preserve">原料批次库存查询 </t>
  </si>
  <si>
    <t>新增原材料报表，按物料查询，在仓库中的“内部批次”汇总数量信息，便于后续与SAP对比库存数据</t>
  </si>
  <si>
    <t>优化项</t>
  </si>
  <si>
    <t>咖啡因出入账卡</t>
  </si>
  <si>
    <t>新增外检取样数，数据获取来源：“账卡记录日期+物料条码”条件，找“内容物外检申请单”同该条件的咖啡因物料取样数据</t>
  </si>
  <si>
    <t>原料入库冲销</t>
  </si>
  <si>
    <t>增加列表导出数据，便于导出数据核对使用</t>
  </si>
  <si>
    <t>原料发料记录</t>
  </si>
  <si>
    <t xml:space="preserve">供应商评价内容 </t>
  </si>
  <si>
    <t>优化字段填写的数量，避免提交时文本数据过长导致异常报错</t>
  </si>
  <si>
    <t>原料抽检标准</t>
  </si>
  <si>
    <t>固定抽检增加“上下浮动”用于热熔胶抽检存在浮动</t>
  </si>
  <si>
    <t>补码申请单</t>
  </si>
  <si>
    <t>模板中心导出模板，增加字段“产品名称”“仓管员、化验员、生产主管”</t>
  </si>
  <si>
    <t>采购入库冲销单</t>
  </si>
  <si>
    <t>优化操作，在新增时可“一键获取库存”</t>
  </si>
  <si>
    <t>原厂批次编码规则</t>
  </si>
  <si>
    <t>列表新增“关键字、物料条码、供应商、厂商”搜索
</t>
  </si>
  <si>
    <t>列表新增“关键字、物料条码”搜索</t>
  </si>
  <si>
    <t>贵州基地-生产板块-2026年06月15日系统更新内容</t>
  </si>
  <si>
    <t>工序控制</t>
  </si>
  <si>
    <t>支持按给单据模块或字段配置集团标准（定性标准显示在单据底部“备注”框里，定量标准在提交或接班签字时合规校验）</t>
  </si>
  <si>
    <t>配料转订单</t>
  </si>
  <si>
    <t>支持把已完成的配料记录（含配方内容物复核、配料操作、半成品检测及打料操作三部分）转移到别的产线</t>
  </si>
  <si>
    <t>生产基地KPI考核指标</t>
  </si>
  <si>
    <t>出品率中配料缸数调整成取【配料工序记录】中“半成品检测及打料操作”处的记录行数</t>
  </si>
  <si>
    <t/>
  </si>
  <si>
    <t>配方转产线</t>
  </si>
  <si>
    <t>支持配方箱转产线</t>
  </si>
  <si>
    <t>停机检查</t>
  </si>
  <si>
    <t>去掉多余的文案“生产主管”</t>
  </si>
  <si/>
  <si>
    <t>贵州-质量板块-2026年06月15日系统更新内容</t>
  </si>
  <si>
    <t>【工序标准值配置】</t>
  </si>
  <si>
    <t>增加供应链原料检测信息接入</t>
  </si>
  <si>
    <t>【成品标准值配置】</t>
  </si>
  <si>
    <t>【原材料标准值配置】</t>
  </si>
  <si>
    <t>贵州基地-安全板块-2026年06月15日系统更新内容</t>
  </si>
  <si>
    <t>访客登记</t>
  </si>
  <si>
    <t>优化列搜索，增加筛选项
：接待部门、物料发放、访客单位、停留时间、访客类型</t>
  </si>
  <si>
    <t>特殊作业申请单</t>
  </si>
  <si>
    <t>&lt;作业方内部&gt;支持选择内部员工证照信息，证照数据来源“行政管理-员工证照”状态已完成的有效证件</t>
  </si>
  <si>
    <t>节前安全检查</t>
  </si>
  <si>
    <t>1、优化新增“参与人”选择多个参与人，检查完成后，相应的参与人在单据上签字提交单据
2、增加反审操作，“不符合问题项目”没有生成下游隐患整改单前，支持反审操作</t>
  </si>
  <si>
    <t>贵州基地-设备板块-2026年06月15日系统更新内容</t>
  </si>
  <si>
    <t>流程设置</t>
  </si>
  <si>
    <t>保养工单审批流程支持按循环周期设定条件分支</t>
  </si>
  <si>
    <t>基地层级日用量汇总</t>
  </si>
  <si>
    <t>“综合能耗”板块增加损耗量计算</t>
  </si>
  <si>
    <t>设备交接班</t>
  </si>
  <si>
    <t>维修工作记录内容超出文本框时，优化文本展示内容</t>
  </si>
  <si>
    <t>贵州基地-人事行政板块-2026年06月15日系统更新内容</t>
  </si>
  <si>
    <t>用车申请数据统计看板</t>
  </si>
  <si>
    <t>根据用车申请业务数据生成相关汇总数据统计看板，便于做统计分析</t>
  </si>
  <si>
    <t>绩效考核数据看板</t>
  </si>
  <si>
    <t>按月、部门汇总统计绩效数据</t>
  </si>
  <si>
    <t>标准工时汇总表</t>
  </si>
  <si>
    <t>列表新增已完成人数</t>
  </si>
  <si>
    <t>详情页支持跳转查看绩效明细</t>
  </si>
  <si>
    <t>培训月报</t>
  </si>
  <si>
    <t>点击培训编号支持跳转至培训记录详情</t>
  </si>
  <si>
    <t>服务费用记录</t>
  </si>
  <si>
    <t>新增批量提交和审核按钮</t>
  </si>
  <si>
    <t>标准工时个人绩效</t>
  </si>
  <si>
    <t>自评分数和复评分数支持负数</t>
  </si>
  <si>
    <t>综合工时绩效表</t>
  </si>
  <si>
    <t>支持导出，同时新增批准签字显示</t>
  </si>
  <si>
    <t>标准工时绩表</t>
  </si>
  <si>
    <t>新增支持导出</t>
  </si>
  <si>
    <t>文号管理</t>
  </si>
  <si>
    <t>引用文号弹窗新增字段（引用主题）</t>
  </si>
  <si>
    <t>列表新增引用人/引用主题/引用日期字段</t>
  </si>
  <si>
    <t>新增数据导出</t>
  </si>
  <si>
    <t>员工证件照</t>
  </si>
  <si>
    <t>新增批量删除操作</t>
  </si>
  <si>
    <t>详情页需要支持预览附件</t>
  </si>
  <si>
    <t>部门安全检查设置</t>
  </si>
  <si>
    <t>化支持选择关联子部门</t>
  </si>
  <si>
    <t>用车申请</t>
  </si>
  <si>
    <t>待还车状态下支持撤回</t>
  </si>
  <si>
    <t>部门考勤表</t>
  </si>
  <si>
    <t>部分字段支持负数</t>
  </si>
  <si>
    <t>部门考勤记录表导入更新文案</t>
  </si>
  <si>
    <t>公告管理</t>
  </si>
  <si>
    <t>打印支持显示操作日志</t>
  </si>
  <si>
    <t>新增待查阅公告消息通知</t>
  </si>
  <si>
    <t>贵州基地-财务板块-2026年06月15日系统更新内容</t>
  </si>
  <si>
    <t>资产盘点单</t>
  </si>
  <si>
    <t>新增资产盘点单，可选择部门进行资产盘点</t>
  </si>
  <si>
    <t>贵州基地-基础板块-2026年06月15日系统更新内容</t>
  </si>
  <si>
    <t xml:space="preserve"> 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</si>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</sst>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000000"/>
      <name val="default"/>
    </font>
    <font>
      <sz val="14"/>
      <color rgb="FFFF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7" fillId="2" borderId="3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6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4" fillId="7" borderId="9" xfId="0" applyFont="1" applyFill="1" applyBorder="1" applyProtection="1">
      <alignment horizontal="center" vertical="center" wrapText="1"/>
    </xf>
    <xf numFmtId="0" fontId="14" fillId="7" borderId="1" xfId="0" applyFont="1" applyFill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7" borderId="1" xfId="0" applyFont="1" applyFill="1" applyBorder="1" applyProtection="1">
      <alignment horizontal="left" vertical="center" wrapText="1"/>
    </xf>
    <xf numFmtId="164" fontId="18" fillId="7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9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7" borderId="9" xfId="0" applyFont="1" applyFill="1" applyBorder="1" applyProtection="1">
      <alignment horizontal="center" vertical="center" wrapText="1"/>
    </xf>
    <xf numFmtId="0" fontId="21" fillId="7" borderId="1" xfId="0" applyFont="1" applyFill="1" applyBorder="1" applyProtection="1">
      <alignment horizontal="center" vertical="center" wrapText="1"/>
    </xf>
    <xf numFmtId="0" fontId="22" fillId="0" borderId="10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6" fillId="0" borderId="14" xfId="0" applyFont="1" applyBorder="1" applyProtection="1">
      <alignment horizontal="left" vertical="center"/>
    </xf>
    <xf numFmtId="0" fontId="17" fillId="7" borderId="14" xfId="0" applyFont="1" applyFill="1" applyBorder="1" applyProtection="1">
      <alignment horizontal="left" vertical="center" wrapText="1"/>
    </xf>
    <xf numFmtId="0" fontId="19" fillId="0" borderId="14" xfId="0" applyFont="1" applyBorder="1" applyProtection="1">
      <alignment horizontal="left" vertical="center"/>
    </xf>
    <xf numFmtId="0" fontId="14" fillId="3" borderId="14" xfId="0" applyFont="1" applyFill="1" applyBorder="1" applyProtection="1">
      <alignment horizontal="center" vertical="center" wrapText="1"/>
    </xf>
    <xf numFmtId="0" fontId="22" fillId="0" borderId="15" xfId="0" applyFont="1" applyBorder="1" applyProtection="1">
      <alignment horizontal="left" vertical="center"/>
    </xf>
    <xf numFmtId="0" fontId="23" fillId="0" borderId="15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7" borderId="1" xfId="0" applyFont="1" applyFill="1" applyBorder="1" applyProtection="1">
      <alignment horizontal="center" vertical="center" wrapText="1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4" xfId="0" applyFont="1" applyFill="1" applyBorder="1" applyProtection="1">
      <alignment horizontal="center" vertical="center" wrapText="1"/>
    </xf>
    <xf numFmtId="0" fontId="9" fillId="8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/>
    </xf>
    <xf numFmtId="0" fontId="28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28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left" vertical="center" wrapText="1"/>
    </xf>
    <xf numFmtId="0" fontId="12" fillId="0" borderId="17" xfId="0" applyFont="1" applyBorder="1" applyProtection="1">
      <alignment horizontal="left" vertical="center"/>
    </xf>
    <xf numFmtId="0" fontId="30" fillId="0" borderId="2" xfId="0" applyFont="1" applyBorder="1" applyProtection="1">
      <alignment horizontal="left" vertical="center"/>
    </xf>
    <xf numFmtId="0" fontId="12" fillId="0" borderId="6" xfId="0" applyFont="1" applyBorder="1" applyProtection="1">
      <alignment horizontal="left" vertical="center"/>
    </xf>
    <xf numFmtId="0" fontId="12" fillId="0" borderId="1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9" fillId="3" borderId="11" xfId="0" applyFont="1" applyFill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 wrapText="1"/>
    </xf>
    <xf numFmtId="0" fontId="32" fillId="0" borderId="18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4" borderId="19" xfId="0" applyFont="1" applyFill="1" applyBorder="1" applyProtection="1">
      <alignment horizontal="center" vertical="center"/>
    </xf>
    <xf numFmtId="0" fontId="31" fillId="0" borderId="17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/>
    </xf>
    <xf numFmtId="0" fontId="33" fillId="0" borderId="1" xfId="0" applyFont="1" applyBorder="1" applyProtection="1">
      <alignment vertical="center"/>
    </xf>
    <xf numFmtId="0" fontId="11" fillId="0" borderId="4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/>
    </xf>
    <xf numFmtId="0" fontId="10" fillId="5" borderId="3" xfId="0" applyFont="1" applyFill="1" applyBorder="1" applyProtection="1">
      <alignment horizontal="center" vertical="center"/>
    </xf>
    <xf numFmtId="0" fontId="33" fillId="0" borderId="19" xfId="0" applyFont="1" applyBorder="1" applyProtection="1">
      <alignment vertical="center"/>
    </xf>
    <xf numFmtId="0" fontId="33" fillId="0" borderId="20" xfId="0" applyFont="1" applyBorder="1" applyProtection="1">
      <alignment vertical="center"/>
    </xf>
    <xf numFmtId="0" fontId="34" fillId="0" borderId="18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1371600</xdr:colOff>
      <xdr:row>6</xdr:row>
      <xdr:rowOff>0</xdr:rowOff>
    </xdr:from>
    <xdr:ext cx="866775" cy="254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46188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46202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1</v>
      </c>
      <c r="D6" s="62" t="n">
        <v>9</v>
      </c>
      <c r="E6" s="63" t="n">
        <f>C6+D6</f>
        <v>0</v>
      </c>
    </row>
    <row r="7" ht="13.5" customHeight="1">
      <c r="A7" s="46" t="n">
        <v>2</v>
      </c>
      <c r="B7" s="47" t="s">
        <v>11</v>
      </c>
      <c r="C7" s="61" t="n">
        <v>2</v>
      </c>
      <c r="D7" s="62" t="n">
        <v>3</v>
      </c>
      <c r="E7" s="63" t="n">
        <f>C7+D7</f>
        <v>5</v>
      </c>
    </row>
    <row r="8" ht="13.5" customHeight="1">
      <c r="A8" s="46" t="n">
        <v>3</v>
      </c>
      <c r="B8" s="47" t="s">
        <v>12</v>
      </c>
      <c r="C8" s="61" t="n">
        <v>0</v>
      </c>
      <c r="D8" s="62" t="n">
        <v>3</v>
      </c>
      <c r="E8" s="63" t="n">
        <f>C8+D8</f>
        <v>0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3</v>
      </c>
      <c r="E9" s="63" t="n">
        <f>C9+D9</f>
        <v>0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3</v>
      </c>
      <c r="E10" s="63" t="n">
        <f>C10+D10</f>
        <v>0</v>
      </c>
    </row>
    <row r="11" ht="13.5" customHeight="1">
      <c r="A11" s="46" t="n">
        <v>6</v>
      </c>
      <c r="B11" s="47" t="s">
        <v>15</v>
      </c>
      <c r="C11" s="61" t="n">
        <v>2</v>
      </c>
      <c r="D11" s="62" t="n">
        <v>19</v>
      </c>
      <c r="E11" s="63" t="n">
        <f>C11+D11</f>
        <v>0</v>
      </c>
    </row>
    <row r="12" ht="13.5" customHeight="1">
      <c r="A12" s="46" t="n">
        <v>7</v>
      </c>
      <c r="B12" s="47" t="s">
        <v>16</v>
      </c>
      <c r="C12" s="61" t="n">
        <v>1</v>
      </c>
      <c r="D12" s="62" t="n">
        <v>0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0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C6+C7+C8+C9+C10+C11+C12+C13</f>
        <v>2</v>
      </c>
      <c r="D14" s="62" t="n">
        <f>D6+D7+D8+D9+D10+D11+D13+D12</f>
        <v>3</v>
      </c>
      <c r="E14" s="63" t="n">
        <f>C14+D14</f>
        <v>5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14" t="s">
        <v>20</v>
      </c>
      <c r="B17" s="52"/>
      <c r="C17" s="52"/>
      <c r="D17" s="52"/>
      <c r="E17" s="60"/>
    </row>
  </sheetData>
  <sheetProtection insertHyperlinks="0" autoFilter="0"/>
  <mergeCells count="10">
    <mergeCell ref="A2:B2"/>
    <mergeCell ref="A15:E15"/>
    <mergeCell ref="C2:E2"/>
    <mergeCell ref="A4:B4"/>
    <mergeCell ref="A16:E16"/>
    <mergeCell ref="C3:E3"/>
    <mergeCell ref="A17:E17"/>
    <mergeCell ref="C4:E4"/>
    <mergeCell ref="A3:B3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3" width="25.664062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74"/>
      <c r="C1" s="74"/>
      <c r="D1" s="34"/>
      <c r="E1" s="33"/>
    </row>
    <row r="2" ht="26.25" customHeight="1">
      <c r="A2" s="22" t="s">
        <v>5</v>
      </c>
      <c r="B2" s="22" t="s">
        <v>22</v>
      </c>
      <c r="C2" s="22" t="s">
        <v>23</v>
      </c>
      <c r="D2" s="32" t="s">
        <v>24</v>
      </c>
      <c r="E2" s="22" t="s">
        <v>25</v>
      </c>
    </row>
    <row r="3" ht="36" customHeight="1">
      <c r="A3" s="26" t="n">
        <v>1</v>
      </c>
      <c r="B3" s="13" t="s">
        <v>26</v>
      </c>
      <c r="C3" s="21" t="s">
        <v>27</v>
      </c>
      <c r="D3" s="96" t="s">
        <v>28</v>
      </c>
      <c r="E3" s="27"/>
    </row>
    <row r="4" ht="26.25" customHeight="1">
      <c r="A4" s="25" t="n">
        <v>1</v>
      </c>
      <c r="B4" s="16" t="s">
        <v>29</v>
      </c>
      <c r="C4" s="90" t="s">
        <v>30</v>
      </c>
      <c r="D4" s="96" t="s">
        <v>31</v>
      </c>
      <c r="E4" s="27"/>
    </row>
    <row r="5" ht="21" customHeight="1">
      <c r="A5" s="25" t="n">
        <v>2</v>
      </c>
      <c r="B5" s="97"/>
      <c r="C5" s="90" t="s">
        <v>32</v>
      </c>
      <c r="D5" s="103" t="s">
        <v>33</v>
      </c>
      <c r="E5" s="27"/>
    </row>
    <row r="6" ht="21.75" customHeight="1">
      <c r="A6" s="25" t="n">
        <v>3</v>
      </c>
      <c r="B6" s="97"/>
      <c r="C6" s="90" t="s">
        <v>34</v>
      </c>
      <c r="D6" s="103" t="s">
        <v>33</v>
      </c>
      <c r="E6" s="27"/>
    </row>
    <row r="7" ht="18" customHeight="1">
      <c r="A7" s="25" t="n">
        <v>4</v>
      </c>
      <c r="B7" s="97"/>
      <c r="C7" s="90" t="s">
        <v>35</v>
      </c>
      <c r="D7" s="103" t="s">
        <v>36</v>
      </c>
      <c r="E7" s="27"/>
    </row>
    <row r="8" ht="20.25" customHeight="1">
      <c r="A8" s="25" t="n">
        <v>5</v>
      </c>
      <c r="B8" s="97"/>
      <c r="C8" s="90" t="s">
        <v>37</v>
      </c>
      <c r="D8" s="103" t="s">
        <v>38</v>
      </c>
      <c r="E8" s="27"/>
    </row>
    <row r="9" ht="24" customHeight="1">
      <c r="A9" s="25" t="n">
        <v>6</v>
      </c>
      <c r="B9" s="97"/>
      <c r="C9" s="90" t="s">
        <v>39</v>
      </c>
      <c r="D9" s="101" t="s">
        <v>40</v>
      </c>
      <c r="E9" s="27"/>
    </row>
    <row r="10" ht="20.25" customHeight="1">
      <c r="A10" s="25" t="n">
        <v>7</v>
      </c>
      <c r="B10" s="97"/>
      <c r="C10" s="90" t="s">
        <v>41</v>
      </c>
      <c r="D10" s="103" t="s">
        <v>42</v>
      </c>
      <c r="E10" s="27"/>
    </row>
    <row r="11" ht="20.25" customHeight="1">
      <c r="A11" s="25" t="n">
        <v>8</v>
      </c>
      <c r="B11" s="97"/>
      <c r="C11" s="90" t="s">
        <v>43</v>
      </c>
      <c r="D11" s="115" t="s">
        <v>44</v>
      </c>
      <c r="E11" s="27"/>
    </row>
    <row r="12" ht="20.25" customHeight="1">
      <c r="A12" s="25" t="n">
        <v>9</v>
      </c>
      <c r="B12" s="97"/>
      <c r="C12" s="90" t="s">
        <v>37</v>
      </c>
      <c r="D12" s="103" t="s">
        <v>45</v>
      </c>
      <c r="E12" s="27"/>
    </row>
  </sheetData>
  <sheetProtection insertHyperlinks="0" autoFilter="0"/>
  <mergeCells count="2">
    <mergeCell ref="A1:E1"/>
    <mergeCell ref="B4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29"/>
  </cols>
  <sheetData>
    <row r="1" s="29" customFormat="1" ht="51" customHeight="1">
      <c r="A1" s="8" t="s">
        <v>46</v>
      </c>
      <c r="B1" s="9"/>
      <c r="C1" s="9"/>
      <c r="D1" s="30"/>
      <c r="E1" s="9"/>
    </row>
    <row r="2" s="29" customFormat="1" ht="21.899999999999995" customHeight="1">
      <c r="A2" s="22" t="s">
        <v>5</v>
      </c>
      <c r="B2" s="22" t="s">
        <v>22</v>
      </c>
      <c r="C2" s="31" t="s">
        <v>23</v>
      </c>
      <c r="D2" s="22" t="s">
        <v>24</v>
      </c>
      <c r="E2" s="32" t="s">
        <v>25</v>
      </c>
    </row>
    <row r="3" s="77" customFormat="1" ht="52.5" customHeight="1">
      <c r="A3" s="71" t="n">
        <v>1</v>
      </c>
      <c r="B3" s="73" t="s">
        <v>26</v>
      </c>
      <c r="C3" s="21" t="s">
        <v>47</v>
      </c>
      <c r="D3" s="94" t="s">
        <v>48</v>
      </c>
      <c r="E3" s="78"/>
    </row>
    <row r="4" s="77" customFormat="1" ht="32.25" customHeight="1">
      <c r="A4" s="71" t="n">
        <v>2</v>
      </c>
      <c r="B4" s="112"/>
      <c r="C4" s="21" t="s">
        <v>49</v>
      </c>
      <c r="D4" s="94" t="s">
        <v>50</v>
      </c>
      <c r="E4" s="78"/>
    </row>
    <row r="5" s="77" customFormat="1" ht="38.25" customHeight="1">
      <c r="A5" s="71" t="n">
        <v>1</v>
      </c>
      <c r="B5" s="99" t="s">
        <v>29</v>
      </c>
      <c r="C5" s="21" t="s">
        <v>51</v>
      </c>
      <c r="D5" s="102" t="s">
        <v>52</v>
      </c>
      <c r="E5" s="78" t="s">
        <v>53</v>
      </c>
    </row>
    <row r="6" s="77" customFormat="1" ht="28.5" customHeight="1">
      <c r="A6" s="71" t="n">
        <v>2</v>
      </c>
      <c r="B6" s="93"/>
      <c r="C6" s="109" t="s">
        <v>54</v>
      </c>
      <c r="D6" s="92" t="s">
        <v>55</v>
      </c>
      <c r="E6" s="78"/>
    </row>
    <row r="7" s="77" customFormat="1" ht="20.25" customHeight="1">
      <c r="A7" s="71" t="n">
        <v>3</v>
      </c>
      <c r="B7" s="93"/>
      <c r="C7" s="109" t="s">
        <v>56</v>
      </c>
      <c r="D7" s="95" t="s">
        <v>57</v>
      </c>
      <c r="E7" s="78" t="s">
        <v>58</v>
      </c>
    </row>
  </sheetData>
  <sheetProtection insertHyperlinks="0" autoFilter="0"/>
  <mergeCells count="3">
    <mergeCell ref="B5:B7"/>
    <mergeCell ref="A1:E1"/>
    <mergeCell ref="B3:B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7"/>
    <col min="2" max="2" width="25.6640625" customWidth="1" style="67"/>
    <col min="3" max="3" width="37.5" customWidth="1" style="69"/>
    <col min="4" max="4" width="99" customWidth="1" style="67"/>
    <col min="5" max="5" width="38.8330078125" customWidth="1" style="67"/>
    <col min="6" max="40" width="9.9990234375" hidden="1" style="67"/>
  </cols>
  <sheetData>
    <row r="1" ht="45" customHeight="1">
      <c r="A1" s="28" t="s">
        <v>59</v>
      </c>
      <c r="B1" s="68"/>
      <c r="C1" s="70"/>
      <c r="D1" s="68"/>
      <c r="E1" s="68"/>
    </row>
    <row r="2" ht="22.5" customHeight="1">
      <c r="A2" s="22" t="s">
        <v>5</v>
      </c>
      <c r="B2" s="64" t="s">
        <v>22</v>
      </c>
      <c r="C2" s="64" t="s">
        <v>23</v>
      </c>
      <c r="D2" s="64" t="s">
        <v>24</v>
      </c>
      <c r="E2" s="64" t="s">
        <v>25</v>
      </c>
    </row>
    <row r="3" ht="20.25" customHeight="1">
      <c r="A3" s="71" t="n">
        <v>1</v>
      </c>
      <c r="B3" s="16" t="s">
        <v>29</v>
      </c>
      <c r="C3" s="109" t="s">
        <v>60</v>
      </c>
      <c r="D3" s="103" t="s">
        <v>61</v>
      </c>
      <c r="E3" s="20"/>
    </row>
    <row r="4" ht="20.25" customHeight="1">
      <c r="A4" s="71" t="n">
        <v>2</v>
      </c>
      <c r="B4" s="107"/>
      <c r="C4" s="109" t="s">
        <v>62</v>
      </c>
      <c r="D4" s="103" t="s">
        <v>61</v>
      </c>
      <c r="E4" s="20"/>
    </row>
    <row r="5" ht="20.25" customHeight="1">
      <c r="A5" s="71" t="n">
        <v>3</v>
      </c>
      <c r="B5" s="107"/>
      <c r="C5" s="109" t="s">
        <v>63</v>
      </c>
      <c r="D5" s="103" t="s">
        <v>61</v>
      </c>
      <c r="E5" s="20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29.83203125" customWidth="1" style="7"/>
    <col min="5" max="5" width="38.8330078125" customWidth="1" style="6"/>
  </cols>
  <sheetData>
    <row r="1" ht="51" customHeight="1">
      <c r="A1" s="65" t="s">
        <v>64</v>
      </c>
      <c r="B1" s="66"/>
      <c r="C1" s="66"/>
      <c r="D1" s="30"/>
      <c r="E1" s="66"/>
    </row>
    <row r="2" ht="26.25" customHeight="1">
      <c r="A2" s="31" t="s">
        <v>5</v>
      </c>
      <c r="B2" s="22" t="s">
        <v>22</v>
      </c>
      <c r="C2" s="32" t="s">
        <v>23</v>
      </c>
      <c r="D2" s="22" t="s">
        <v>24</v>
      </c>
      <c r="E2" s="22" t="s">
        <v>25</v>
      </c>
    </row>
    <row r="3" ht="39" customHeight="1">
      <c r="A3" s="25" t="n">
        <v>1</v>
      </c>
      <c r="B3" s="111" t="s">
        <v>29</v>
      </c>
      <c r="C3" s="90" t="s">
        <v>65</v>
      </c>
      <c r="D3" s="103" t="s">
        <v>66</v>
      </c>
      <c r="E3" s="27"/>
    </row>
    <row r="4" ht="38.25" customHeight="1">
      <c r="A4" s="25" t="n">
        <v>2</v>
      </c>
      <c r="B4" s="112"/>
      <c r="C4" s="90" t="s">
        <v>67</v>
      </c>
      <c r="D4" s="103" t="s">
        <v>68</v>
      </c>
      <c r="E4" s="27"/>
    </row>
    <row r="5" ht="44.25" customHeight="1">
      <c r="A5" s="25" t="n">
        <v>3</v>
      </c>
      <c r="B5" s="113"/>
      <c r="C5" s="108" t="s">
        <v>69</v>
      </c>
      <c r="D5" s="116" t="s">
        <v>70</v>
      </c>
      <c r="E5" s="110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71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7.5" customHeight="1" hidden="1">
      <c r="A3" s="25" t="n">
        <v>1</v>
      </c>
      <c r="B3" s="73" t="s">
        <v>26</v>
      </c>
      <c r="C3" s="76"/>
      <c r="D3" s="72"/>
      <c r="E3" s="23"/>
    </row>
    <row r="4" ht="37.5" customHeight="1" hidden="1">
      <c r="A4" s="25" t="n">
        <v>2</v>
      </c>
      <c r="B4" s="73"/>
      <c r="C4" s="76"/>
      <c r="D4" s="72"/>
      <c r="E4" s="23"/>
    </row>
    <row r="5" ht="37.5" customHeight="1" hidden="1">
      <c r="A5" s="25" t="n">
        <v>3</v>
      </c>
      <c r="B5" s="73"/>
      <c r="C5" s="76"/>
      <c r="D5" s="72"/>
      <c r="E5" s="23"/>
    </row>
    <row r="6" ht="37.5" customHeight="1" hidden="1">
      <c r="A6" s="25" t="n">
        <v>4</v>
      </c>
      <c r="B6" s="73"/>
      <c r="C6" s="76"/>
      <c r="D6" s="72"/>
      <c r="E6" s="23"/>
    </row>
    <row r="7" ht="37.5" customHeight="1" hidden="1">
      <c r="A7" s="25" t="n">
        <v>5</v>
      </c>
      <c r="B7" s="73"/>
      <c r="C7" s="76"/>
      <c r="D7" s="72"/>
      <c r="E7" s="23"/>
    </row>
    <row r="8" ht="37.5" customHeight="1">
      <c r="A8" s="26" t="n">
        <v>1</v>
      </c>
      <c r="B8" s="16" t="s">
        <v>29</v>
      </c>
      <c r="C8" s="75" t="s">
        <v>72</v>
      </c>
      <c r="D8" s="79" t="s">
        <v>73</v>
      </c>
      <c r="E8" s="80"/>
    </row>
    <row r="9" ht="37.5" customHeight="1">
      <c r="A9" s="26" t="n">
        <v>2</v>
      </c>
      <c r="B9" s="16"/>
      <c r="C9" s="75" t="s">
        <v>74</v>
      </c>
      <c r="D9" s="79" t="s">
        <v>75</v>
      </c>
      <c r="E9" s="80"/>
    </row>
    <row r="10" ht="37.5" customHeight="1">
      <c r="A10" s="26" t="n">
        <v>3</v>
      </c>
      <c r="B10" s="16"/>
      <c r="C10" s="75" t="s">
        <v>76</v>
      </c>
      <c r="D10" s="79" t="s">
        <v>77</v>
      </c>
      <c r="E10" s="80"/>
    </row>
    <row r="27" ht="13.5" customHeight="1">
      <c r="C27" s="7"/>
    </row>
    <row r="29" ht="13.5" customHeight="1">
      <c r="D29" s="5"/>
    </row>
  </sheetData>
  <sheetProtection insertHyperlinks="0" autoFilter="0"/>
  <mergeCells count="3">
    <mergeCell ref="B8:B10"/>
    <mergeCell ref="B3:B7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68.1640625" customWidth="1" style="7"/>
    <col min="5" max="5" width="67.8310546875" customWidth="1" style="6"/>
  </cols>
  <sheetData>
    <row r="1" ht="51" customHeight="1">
      <c r="A1" s="65" t="s">
        <v>78</v>
      </c>
      <c r="B1" s="66"/>
      <c r="C1" s="66"/>
      <c r="D1" s="30"/>
      <c r="E1" s="66"/>
    </row>
    <row r="2" ht="32.5" customHeight="1">
      <c r="A2" s="12" t="s">
        <v>5</v>
      </c>
      <c r="B2" s="12" t="s">
        <v>22</v>
      </c>
      <c r="C2" s="12" t="s">
        <v>23</v>
      </c>
      <c r="D2" s="98" t="s">
        <v>24</v>
      </c>
      <c r="E2" s="12" t="s">
        <v>25</v>
      </c>
    </row>
    <row r="3" ht="20.25" customHeight="1">
      <c r="A3" s="25" t="n">
        <v>1</v>
      </c>
      <c r="B3" s="104" t="s">
        <v>26</v>
      </c>
      <c r="C3" s="91" t="s">
        <v>79</v>
      </c>
      <c r="D3" s="103" t="s">
        <v>80</v>
      </c>
      <c r="E3" s="105"/>
    </row>
    <row r="4" ht="20.25" customHeight="1">
      <c r="A4" s="25" t="n">
        <v>2</v>
      </c>
      <c r="B4" s="112"/>
      <c r="C4" s="91" t="s">
        <v>81</v>
      </c>
      <c r="D4" s="103" t="s">
        <v>82</v>
      </c>
      <c r="E4" s="105"/>
    </row>
    <row r="5" ht="20.25" customHeight="1">
      <c r="A5" s="26" t="n">
        <v>1</v>
      </c>
      <c r="B5" s="88" t="s">
        <v>29</v>
      </c>
      <c r="C5" s="90" t="s">
        <v>83</v>
      </c>
      <c r="D5" s="82" t="s">
        <v>84</v>
      </c>
      <c r="E5" s="83"/>
    </row>
    <row r="6" ht="20.25" customHeight="1">
      <c r="A6" s="26" t="n">
        <v>2</v>
      </c>
      <c r="B6" s="89"/>
      <c r="C6" s="90" t="s">
        <v>83</v>
      </c>
      <c r="D6" s="82" t="s">
        <v>85</v>
      </c>
      <c r="E6" s="106"/>
    </row>
    <row r="7" ht="20.25" customHeight="1">
      <c r="A7" s="26" t="n">
        <v>3</v>
      </c>
      <c r="B7" s="89"/>
      <c r="C7" s="90" t="s">
        <v>86</v>
      </c>
      <c r="D7" s="82" t="s">
        <v>87</v>
      </c>
      <c r="E7" s="84"/>
    </row>
    <row r="8" ht="20.25" customHeight="1">
      <c r="A8" s="26" t="n">
        <v>4</v>
      </c>
      <c r="B8" s="89"/>
      <c r="C8" s="90" t="s">
        <v>88</v>
      </c>
      <c r="D8" s="82" t="s">
        <v>89</v>
      </c>
      <c r="E8" s="84"/>
    </row>
    <row r="9" ht="20.25" customHeight="1">
      <c r="A9" s="26" t="n">
        <v>5</v>
      </c>
      <c r="B9" s="89"/>
      <c r="C9" s="90" t="s">
        <v>90</v>
      </c>
      <c r="D9" s="82" t="s">
        <v>91</v>
      </c>
      <c r="E9" s="85"/>
    </row>
    <row r="10" ht="20.25" customHeight="1">
      <c r="A10" s="26" t="n">
        <v>6</v>
      </c>
      <c r="B10" s="89"/>
      <c r="C10" s="90" t="s">
        <v>92</v>
      </c>
      <c r="D10" s="86" t="s">
        <v>93</v>
      </c>
      <c r="E10" s="87"/>
    </row>
    <row r="11" ht="20.25" customHeight="1">
      <c r="A11" s="26" t="n">
        <v>7</v>
      </c>
      <c r="B11" s="89"/>
      <c r="C11" s="90" t="s">
        <v>94</v>
      </c>
      <c r="D11" s="86" t="s">
        <v>95</v>
      </c>
      <c r="E11" s="87"/>
    </row>
    <row r="12" ht="20.25" customHeight="1">
      <c r="A12" s="26" t="n">
        <v>8</v>
      </c>
      <c r="B12" s="89"/>
      <c r="C12" s="90" t="s">
        <v>96</v>
      </c>
      <c r="D12" s="86" t="s">
        <v>89</v>
      </c>
      <c r="E12" s="87"/>
    </row>
    <row r="13" ht="20.25" customHeight="1">
      <c r="A13" s="26" t="n">
        <v>9</v>
      </c>
      <c r="B13" s="89"/>
      <c r="C13" s="90" t="s">
        <v>96</v>
      </c>
      <c r="D13" s="86" t="s">
        <v>97</v>
      </c>
      <c r="E13" s="87"/>
    </row>
    <row r="14" ht="20.25" customHeight="1">
      <c r="A14" s="26" t="n">
        <v>10</v>
      </c>
      <c r="B14" s="89"/>
      <c r="C14" s="90" t="s">
        <v>96</v>
      </c>
      <c r="D14" s="86" t="s">
        <v>98</v>
      </c>
      <c r="E14" s="87"/>
    </row>
    <row r="15" ht="20.25" customHeight="1">
      <c r="A15" s="26" t="n">
        <v>11</v>
      </c>
      <c r="B15" s="89"/>
      <c r="C15" s="90" t="s">
        <v>96</v>
      </c>
      <c r="D15" s="86" t="s">
        <v>99</v>
      </c>
      <c r="E15" s="87"/>
    </row>
    <row r="16" ht="20.25" customHeight="1">
      <c r="A16" s="26" t="n">
        <v>12</v>
      </c>
      <c r="B16" s="89"/>
      <c r="C16" s="90" t="s">
        <v>100</v>
      </c>
      <c r="D16" s="86" t="s">
        <v>101</v>
      </c>
      <c r="E16" s="87"/>
    </row>
    <row r="17" ht="20.25" customHeight="1">
      <c r="A17" s="26" t="n">
        <v>13</v>
      </c>
      <c r="B17" s="89"/>
      <c r="C17" s="90" t="s">
        <v>100</v>
      </c>
      <c r="D17" s="86" t="s">
        <v>102</v>
      </c>
      <c r="E17" s="87"/>
    </row>
    <row r="18" ht="20.25" customHeight="1">
      <c r="A18" s="26" t="n">
        <v>14</v>
      </c>
      <c r="B18" s="89"/>
      <c r="C18" s="90" t="s">
        <v>103</v>
      </c>
      <c r="D18" s="86" t="s">
        <v>104</v>
      </c>
      <c r="E18" s="87"/>
    </row>
    <row r="19" ht="20.25" customHeight="1">
      <c r="A19" s="26" t="n">
        <v>15</v>
      </c>
      <c r="B19" s="89"/>
      <c r="C19" s="90" t="s">
        <v>105</v>
      </c>
      <c r="D19" s="86" t="s">
        <v>106</v>
      </c>
      <c r="E19" s="87"/>
    </row>
    <row r="20" ht="20.25" customHeight="1">
      <c r="A20" s="26" t="n">
        <v>16</v>
      </c>
      <c r="B20" s="89"/>
      <c r="C20" s="90" t="s">
        <v>107</v>
      </c>
      <c r="D20" s="86" t="s">
        <v>108</v>
      </c>
      <c r="E20" s="87"/>
    </row>
    <row r="21" ht="20.25" customHeight="1">
      <c r="A21" s="26" t="n">
        <v>17</v>
      </c>
      <c r="B21" s="89"/>
      <c r="C21" s="90" t="s">
        <v>107</v>
      </c>
      <c r="D21" s="86" t="s">
        <v>109</v>
      </c>
      <c r="E21" s="87"/>
    </row>
    <row r="22" ht="20.25" customHeight="1">
      <c r="A22" s="26" t="n">
        <v>18</v>
      </c>
      <c r="B22" s="89"/>
      <c r="C22" s="90" t="s">
        <v>110</v>
      </c>
      <c r="D22" s="86" t="s">
        <v>111</v>
      </c>
      <c r="E22" s="87"/>
    </row>
    <row r="23" ht="20.25" customHeight="1">
      <c r="A23" s="26" t="n">
        <v>19</v>
      </c>
      <c r="B23" s="89"/>
      <c r="C23" s="90" t="s">
        <v>110</v>
      </c>
      <c r="D23" s="86" t="s">
        <v>112</v>
      </c>
      <c r="E23" s="87"/>
    </row>
  </sheetData>
  <sheetProtection insertHyperlinks="0" autoFilter="0"/>
  <mergeCells count="3">
    <mergeCell ref="A1:E1"/>
    <mergeCell ref="B5:B23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9.039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113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9.5" customHeight="1">
      <c r="A3" s="26" t="n">
        <v>1</v>
      </c>
      <c r="B3" s="13" t="s">
        <v>26</v>
      </c>
      <c r="C3" s="21" t="s">
        <v>114</v>
      </c>
      <c r="D3" s="81" t="s">
        <v>115</v>
      </c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116</v>
      </c>
      <c r="B1" s="9"/>
      <c r="C1" s="9"/>
      <c r="D1" s="10"/>
      <c r="E1" s="9"/>
    </row>
    <row r="2" ht="26.25" customHeight="1">
      <c r="A2" s="12" t="s">
        <v>5</v>
      </c>
      <c r="B2" s="2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26" t="n">
        <v>1</v>
      </c>
      <c r="B3" s="16" t="s">
        <v>29</v>
      </c>
      <c r="C3" s="21"/>
      <c r="D3" s="96"/>
      <c r="E3" s="23"/>
    </row>
    <row r="11" ht="14.25" customHeight="1">
      <c r="D11" s="7" t="s">
        <v>117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118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4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29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2026-06-15T15:50:41Z</dcterms:modified>
</cp:coreProperties>
</file>