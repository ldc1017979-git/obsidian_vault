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<sst xmlns="http://schemas.openxmlformats.org/spreadsheetml/2006/main">
  <si>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贵州基地-数智工厂3.34.0版本迭代概览</t>
  </si>
  <si>
    <t>本次试用迭代</t>
  </si>
  <si>
    <t>基地试用周期</t>
  </si>
  <si>
    <t>03月30日-04月06日（共8天）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</si>
  <si>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</si>
  <si>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</si>
  <si>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</si>
  <si>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</si>
  <si>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</si>
  <si>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</si>
  <si>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</si>
  <si>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</si>
  <si>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</si>
  <si>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</si>
  <si>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</si>
  <si>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</si>
  <si>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</si>
  <si>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</si>
  <si>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</si>
  <si>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</si>
  <si>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</si>
  <si>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贵州基地-仓储板块-2026年03月30日系统更新内容</t>
  </si>
  <si>
    <t>类型</t>
  </si>
  <si>
    <t>单据</t>
  </si>
  <si>
    <t>内容</t>
  </si>
  <si>
    <t>备注</t>
  </si>
  <si>
    <t>优化项</t>
  </si>
  <si>
    <t>供应商管理</t>
  </si>
  <si>
    <t>优化附件上传交互，显示资质到期预警提示</t>
  </si>
  <si>
    <t>仓管员交接班记录</t>
  </si>
  <si>
    <t>1、限制重复：禁止当天同班次重复制单
2、成品入库取数优化，按入库单号显示，数据不进行合并</t>
  </si>
  <si>
    <t>原料入库单</t>
  </si>
  <si>
    <t>1、优化操作交互，先选产品大类，再选择采购单
2、日期相关优化，导入时记账日期校验避免导入错误，“到期日期”不能小于“生产日期“</t>
  </si>
  <si>
    <t>原料入库单-纸皮送检</t>
  </si>
  <si>
    <r>
      <rPr>
        <color rgb="FF000000"/>
        <rFont val="微软雅黑"/>
        <sz val="14"/>
      </rPr>
      <t xml:space="preserve">送检方式优化调整，场景：当创建了多张入库单时，选择</t>
    </r>
    <r>
      <rPr>
        <color rgb="FFFE0300"/>
        <rFont val="微软雅黑"/>
        <sz val="14"/>
      </rPr>
      <t xml:space="preserve">最多数据</t>
    </r>
    <r>
      <rPr>
        <color rgb="FF000000"/>
        <rFont val="微软雅黑"/>
        <sz val="14"/>
      </rPr>
      <t xml:space="preserve">的入库单</t>
    </r>
    <r>
      <rPr>
        <color rgb="FFFE0300"/>
        <rFont val="微软雅黑"/>
        <sz val="14"/>
      </rPr>
      <t xml:space="preserve">操作送检</t>
    </r>
    <r>
      <rPr>
        <color rgb="FF000000"/>
        <rFont val="微软雅黑"/>
        <sz val="14"/>
      </rPr>
      <t xml:space="preserve">，获取同内部批次号合并推送</t>
    </r>
  </si>
  <si>
    <t>原料入库单-热缩膜送检</t>
  </si>
  <si>
    <t>原料入库抽检报告</t>
  </si>
  <si>
    <t>1、增加产品大类和筛选
2、优化新增操作方式，先选择物料仓库条件信息，再选择货品</t>
  </si>
  <si>
    <t>原料入库计量抽检月报</t>
  </si>
  <si>
    <t>增加产品大类和筛选</t>
  </si>
  <si>
    <t>贵州基地-生产板块-2026年03月30日系统更新内容</t>
  </si>
  <si>
    <t>配料工序记录</t>
  </si>
  <si>
    <t>产品批次合规校验（失焦后校验，不合规直接清空所填内容，同时toast提示：产品批次不合规，请重新输入）</t>
  </si>
  <si>
    <t>生产物料领用抽检报告-热缩膜</t>
  </si>
  <si>
    <t>净重 = 毛重 - 膜桶重量，“毛重”、“膜桶重量”变化时同步更新，支持修改</t>
  </si>
  <si>
    <t>生产基地KPI考核指标</t>
  </si>
  <si>
    <t>"劳动生产率中生产天数、完成天数计算方式调整
① 生产天数：某车间某天存在生产作业记录，即计入生产天数
② 完成天数：某车间某天全部产品（普通型、强化型、六罐装）总产量 ≥ 【（31250 * 普通型和强化型生产时间 + 28750  * 六罐装生产时间）÷ 60】，即计入完成天数"</t>
  </si>
  <si>
    <t>包装材料物料平衡表</t>
  </si>
  <si>
    <t>签字提交时校验“生产结束日期”有内容，否则提示：请确认xx、xx有内容后再签字提交</t>
  </si>
  <si>
    <t>原辅料物料平衡表</t>
  </si>
  <si>
    <t>CIP工序记录</t>
  </si>
  <si>
    <t>增加【反审】功能</t>
  </si>
  <si>
    <t>KPI指标</t>
  </si>
  <si>
    <t>① 汇总求和：进入该页面求和、点击【搜索】时对检索内容进行求和
② “设备运行时间”只有湖北显示，其他基地不显示
注：空罐、实际产量、入库量保留4位小数，热缩膜、热熔胶、液氮使用量保留2位小数，其它都保留整数</t>
  </si>
  <si>
    <t>污水处理</t>
  </si>
  <si>
    <t>增加导出功能
① 合计、数量：只算有数值的pH、SS、COD、氨氮（0算数值，空白、/ 等不算）
    平均数：= 合计 ÷ 数量
② 导出模板展示的内容保持跟原始表单一致（空白、/ 都正常显示）</t>
  </si>
  <si>
    <t>贵州-质量板块-2026年03月30日系统更新内容</t>
  </si>
  <si>
    <t>新增功能</t>
  </si>
  <si>
    <t>【罐后端尺寸自动检测仪】</t>
  </si>
  <si>
    <t>新增单据</t>
  </si>
  <si>
    <t>【盖尺寸检测仪校准】</t>
  </si>
  <si>
    <t>【盖尺寸校准标准】</t>
  </si>
  <si>
    <t>新增工序标准值配置</t>
  </si>
  <si>
    <t>【罐后端尺寸标准】</t>
  </si>
  <si>
    <t>新增标准值配置</t>
  </si>
  <si>
    <t>【原料质量异常处置】</t>
  </si>
  <si>
    <t>1、异常库存明细增加产线的显示置灰，根据库存明细带入
2、处置节点=仓库巡检/生产领用查询库存明细数据时，增加“可用状态”过滤：
①当处理方式=隔离和退库类型，增加过滤条件可用状态等于“质量检查”和“非限制”。
②当处理方式=让步类型，增加过滤条件可用状态等于“冻结”。</t>
  </si>
  <si>
    <t>【留样观察记录】</t>
  </si>
  <si>
    <t>所有“罐身上”和“罐身下”的枚举值增加“变形”和“0-10”</t>
  </si>
  <si>
    <t>【成品发货通知单】</t>
  </si>
  <si>
    <t>提交时增加“成品库存校验，只有所有批次+批号都已经入库才能提交，存在未入库的批次+批号则无法提交并且需要提示出来具体批次号”</t>
  </si>
  <si>
    <t>贵州基地-设备板块-2026年03月30日系统更新内容</t>
  </si>
  <si>
    <t>贵州基地-安全板块-2026年03月30日系统更新内容</t>
  </si>
  <si>
    <t>点巡检报表-消防月报</t>
  </si>
  <si>
    <t>解决下载文件过大失败问题：下载调整为异步下载</t>
  </si>
  <si>
    <t>贵州基地-人事行政板块-2026年03月30日系统更新内容</t>
  </si>
  <si>
    <t>用车申请</t>
  </si>
  <si>
    <t>待派车状态下支持撤回用车申请</t>
  </si>
  <si>
    <t>标准工时绩效表</t>
  </si>
  <si>
    <t>复核分数默认等于自评分数</t>
  </si>
  <si>
    <t>培训记录</t>
  </si>
  <si>
    <t>小程序-受训人评价新增撤回评价功能</t>
  </si>
  <si>
    <t>4月3日左右发布到正式环境体验小程序</t>
  </si>
  <si>
    <t>提交完成统计时校验上传现场照片是否上传</t>
  </si>
  <si>
    <t>成绩未选择合格或不合格时，不纳入培训有效判断</t>
  </si>
  <si>
    <t>公告中心</t>
  </si>
  <si>
    <t>公告中心筛选功能</t>
  </si>
  <si>
    <t>绩效考核设置</t>
  </si>
  <si>
    <t>综合工时-月度绩效汇总规则，预设签字确认催办日期和提醒功能</t>
  </si>
  <si>
    <t>标准工时-月度绩效汇总规则，预设提交催办日期和提醒功能</t>
  </si>
  <si>
    <t>招聘管理</t>
  </si>
  <si>
    <t>PC端和小程序新增通讯地址、个人爱好、电子邮箱等必填字段</t>
  </si>
  <si>
    <t>会议纪要</t>
  </si>
  <si>
    <t>审批人在审核阶段支持查看附件</t>
  </si>
  <si>
    <t>贵州基地-财务板块-2026年03月30日系统更新内容</t>
  </si>
  <si>
    <t>贵州基地-基础板块-2026年03月30日系统更新内容</t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</si>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</sst>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sz val="14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b/>
      <sz val="14"/>
      <name val="微软雅黑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/>
    </xf>
    <xf numFmtId="0" fontId="11" fillId="0" borderId="2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12" fillId="0" borderId="17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 wrapText="1"/>
    </xf>
    <xf numFmtId="0" fontId="12" fillId="0" borderId="2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general" vertical="center"/>
    </xf>
    <xf numFmtId="0" fontId="11" fillId="0" borderId="1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5" fillId="0" borderId="18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9" borderId="1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8" fillId="0" borderId="19" xfId="0" applyFont="1" applyBorder="1" applyProtection="1">
      <alignment horizontal="center" vertical="center" wrapText="1"/>
    </xf>
    <xf numFmtId="0" fontId="10" fillId="9" borderId="20" xfId="0" applyFont="1" applyFill="1" applyBorder="1" applyProtection="1">
      <alignment horizontal="center" vertical="center" wrapText="1"/>
    </xf>
    <xf numFmtId="0" fontId="11" fillId="0" borderId="17" xfId="0" applyFont="1" applyBorder="1" applyProtection="1">
      <alignment horizontal="center" vertical="center" wrapText="1"/>
    </xf>
    <xf numFmtId="0" fontId="12" fillId="0" borderId="6" xfId="0" applyFont="1" applyBorder="1" applyProtection="1">
      <alignment horizontal="center" vertical="center" wrapText="1"/>
    </xf>
    <xf numFmtId="0" fontId="10" fillId="4" borderId="1" xfId="0" applyFont="1" applyFill="1" applyBorder="1" applyProtection="1">
      <alignment horizontal="center" vertical="center" wrapText="1"/>
    </xf>
    <xf numFmtId="0" fontId="12" fillId="0" borderId="5" xfId="0" applyFont="1" applyBorder="1" applyProtection="1">
      <alignment horizontal="left" vertical="center" wrapText="1"/>
    </xf>
    <xf numFmtId="0" fontId="5" fillId="0" borderId="3" xfId="0" applyFont="1" applyBorder="1" applyProtection="1">
      <alignment horizontal="center" vertical="center"/>
    </xf>
    <xf numFmtId="0" fontId="30" fillId="0" borderId="21" xfId="0" applyFont="1" applyBorder="1" applyProtection="1">
      <alignment horizontal="left" vertical="center"/>
    </xf>
    <xf numFmtId="0" fontId="12" fillId="0" borderId="4" xfId="0" applyFont="1" applyBorder="1" applyProtection="1">
      <alignment horizontal="left" vertical="center" wrapText="1"/>
    </xf>
    <xf numFmtId="0" fontId="12" fillId="0" borderId="20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vertical="center"/>
    </xf>
    <xf numFmtId="0" fontId="32" fillId="0" borderId="6" xfId="0" applyFont="1" applyBorder="1" applyProtection="1">
      <alignment horizontal="left" vertical="center" wrapText="1"/>
    </xf>
    <xf numFmtId="0" fontId="32" fillId="0" borderId="17" xfId="0" applyFont="1" applyBorder="1" applyProtection="1">
      <alignment horizontal="left" vertical="center"/>
    </xf>
    <xf numFmtId="0" fontId="33" fillId="0" borderId="2" xfId="0" applyFont="1" applyBorder="1" applyProtection="1">
      <alignment horizontal="left" vertical="center"/>
    </xf>
    <xf numFmtId="0" fontId="32" fillId="0" borderId="2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/>
    </xf>
    <xf numFmtId="0" fontId="32" fillId="0" borderId="1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35" fillId="0" borderId="1" xfId="0" applyFont="1" applyBorder="1" applyProtection="1">
      <alignment horizontal="center" vertical="center"/>
    </xf>
    <xf numFmtId="0" fontId="32" fillId="0" borderId="22" xfId="0" applyFont="1" applyBorder="1" applyProtection="1">
      <alignment horizontal="left" vertical="center" wrapText="1"/>
    </xf>
    <xf numFmtId="0" fontId="32" fillId="0" borderId="1" xfId="0" applyFont="1" applyBorder="1" applyProtection="1">
      <alignment horizontal="left" vertical="center"/>
    </xf>
    <xf numFmtId="0" fontId="10" fillId="5" borderId="3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/>
    </xf>
    <xf numFmtId="0" fontId="31" fillId="0" borderId="18" xfId="0" applyFont="1" applyBorder="1" applyProtection="1">
      <alignment vertical="center"/>
    </xf>
    <xf numFmtId="0" fontId="31" fillId="0" borderId="20" xfId="0" applyFont="1" applyBorder="1" applyProtection="1">
      <alignment vertical="center"/>
    </xf>
    <xf numFmtId="0" fontId="36" fillId="0" borderId="21" xfId="0" applyFont="1" applyBorder="1" applyProtection="1">
      <alignment horizontal="left" vertical="center"/>
    </xf>
    <xf numFmtId="0" fontId="37" fillId="0" borderId="1" xfId="0" applyFont="1" applyBorder="1" applyProtection="1">
      <alignment horizontal="left" vertical="center" wrapText="1"/>
    </xf>
    <xf numFmtId="0" fontId="38" fillId="0" borderId="4" xfId="0" applyFont="1" applyBorder="1" applyProtection="1">
      <alignment horizontal="left" vertical="center" wrapText="1"/>
    </xf>
    <xf numFmtId="0" fontId="39" fillId="0" borderId="5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20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46111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46125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0</v>
      </c>
      <c r="D6" s="62" t="n">
        <v>7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0</v>
      </c>
      <c r="D7" s="62" t="n">
        <v>8</v>
      </c>
      <c r="E7" s="63" t="n">
        <f>C7+D7</f>
        <v>0</v>
      </c>
    </row>
    <row r="8" ht="13.5" customHeight="1">
      <c r="A8" s="46" t="n">
        <v>3</v>
      </c>
      <c r="B8" s="47" t="s">
        <v>12</v>
      </c>
      <c r="C8" s="61" t="n">
        <v>4</v>
      </c>
      <c r="D8" s="62" t="n">
        <v>3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0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1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0</v>
      </c>
      <c r="D11" s="62" t="n">
        <v>10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0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0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C6+C7+C8+C9+C10+C11+C12+C13</f>
        <v>0</v>
      </c>
      <c r="D14" s="62" t="n">
        <f>D6+D7+D8+D9+D10+D11+D13+D12</f>
        <v>0</v>
      </c>
      <c r="E14" s="63" t="n">
        <f>C14+D14</f>
        <v>0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29" t="s">
        <v>20</v>
      </c>
      <c r="B17" s="52"/>
      <c r="C17" s="52"/>
      <c r="D17" s="52"/>
      <c r="E17" s="60"/>
    </row>
  </sheetData>
  <sheetProtection insertHyperlinks="0" autoFilter="0"/>
  <mergeCells count="10">
    <mergeCell ref="A4:B4"/>
    <mergeCell ref="A16:E16"/>
    <mergeCell ref="A17:E17"/>
    <mergeCell ref="C3:E3"/>
    <mergeCell ref="A3:B3"/>
    <mergeCell ref="A1:E1"/>
    <mergeCell ref="A2:B2"/>
    <mergeCell ref="C2:E2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3" width="25.664062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77"/>
      <c r="C1" s="77"/>
      <c r="D1" s="34"/>
      <c r="E1" s="33"/>
    </row>
    <row r="2" ht="26.25" customHeight="1">
      <c r="A2" s="12" t="s">
        <v>5</v>
      </c>
      <c r="B2" s="22" t="s">
        <v>22</v>
      </c>
      <c r="C2" s="12" t="s">
        <v>23</v>
      </c>
      <c r="D2" s="32" t="s">
        <v>24</v>
      </c>
      <c r="E2" s="22" t="s">
        <v>25</v>
      </c>
    </row>
    <row r="3" ht="29.25" customHeight="1">
      <c r="A3" s="26" t="n">
        <v>1</v>
      </c>
      <c r="B3" s="16" t="s">
        <v>26</v>
      </c>
      <c r="C3" s="73" t="s">
        <v>27</v>
      </c>
      <c r="D3" s="109" t="s">
        <v>28</v>
      </c>
      <c r="E3" s="27"/>
    </row>
    <row r="4" ht="46.5" customHeight="1">
      <c r="A4" s="26" t="n">
        <v>2</v>
      </c>
      <c r="B4" s="100"/>
      <c r="C4" s="73" t="s">
        <v>29</v>
      </c>
      <c r="D4" s="130" t="s">
        <v>30</v>
      </c>
      <c r="E4" s="91"/>
    </row>
    <row r="5" ht="40.5" customHeight="1">
      <c r="A5" s="26" t="n">
        <v>3</v>
      </c>
      <c r="B5" s="100"/>
      <c r="C5" s="73" t="s">
        <v>31</v>
      </c>
      <c r="D5" s="131" t="s">
        <v>32</v>
      </c>
      <c r="E5" s="27"/>
    </row>
    <row r="6" ht="41.25" customHeight="1">
      <c r="A6" s="26" t="n">
        <v>4</v>
      </c>
      <c r="B6" s="100"/>
      <c r="C6" s="73" t="s">
        <v>33</v>
      </c>
      <c r="D6" s="106" t="s">
        <v>34</v>
      </c>
      <c r="E6" s="107"/>
    </row>
    <row r="7" ht="41.25" customHeight="1">
      <c r="A7" s="26" t="n">
        <v>5</v>
      </c>
      <c r="B7" s="100"/>
      <c r="C7" s="73" t="s">
        <v>35</v>
      </c>
      <c r="D7" s="106" t="s">
        <v>34</v>
      </c>
      <c r="E7" s="107"/>
    </row>
    <row r="8" ht="41.25" customHeight="1">
      <c r="A8" s="26" t="n">
        <v>6</v>
      </c>
      <c r="B8" s="100"/>
      <c r="C8" s="73" t="s">
        <v>36</v>
      </c>
      <c r="D8" s="132" t="s">
        <v>37</v>
      </c>
      <c r="E8" s="107"/>
    </row>
    <row r="9" ht="28.5" customHeight="1">
      <c r="A9" s="26" t="n">
        <v>7</v>
      </c>
      <c r="B9" s="100"/>
      <c r="C9" s="89" t="s">
        <v>38</v>
      </c>
      <c r="D9" s="98" t="s">
        <v>39</v>
      </c>
      <c r="E9" s="27"/>
    </row>
  </sheetData>
  <sheetProtection insertHyperlinks="0" autoFilter="0"/>
  <mergeCells count="2">
    <mergeCell ref="B3:B9"/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9"/>
  </cols>
  <sheetData>
    <row r="1" s="29" customFormat="1" ht="51" customHeight="1">
      <c r="A1" s="8" t="s">
        <v>40</v>
      </c>
      <c r="B1" s="9"/>
      <c r="C1" s="9"/>
      <c r="D1" s="30"/>
      <c r="E1" s="9"/>
    </row>
    <row r="2" s="29" customFormat="1" ht="21.899999999999995" customHeight="1">
      <c r="A2" s="22" t="s">
        <v>5</v>
      </c>
      <c r="B2" s="22" t="s">
        <v>22</v>
      </c>
      <c r="C2" s="31" t="s">
        <v>23</v>
      </c>
      <c r="D2" s="22" t="s">
        <v>24</v>
      </c>
      <c r="E2" s="32" t="s">
        <v>25</v>
      </c>
    </row>
    <row r="3" s="81" customFormat="1" ht="49.5" customHeight="1">
      <c r="A3" s="71" t="n">
        <v>1</v>
      </c>
      <c r="B3" s="125" t="s">
        <v>26</v>
      </c>
      <c r="C3" s="88" t="s">
        <v>41</v>
      </c>
      <c r="D3" s="95" t="s">
        <v>42</v>
      </c>
      <c r="E3" s="82"/>
    </row>
    <row r="4" s="81" customFormat="1" ht="38.25" customHeight="1">
      <c r="A4" s="71" t="n">
        <v>2</v>
      </c>
      <c r="B4" s="127"/>
      <c r="C4" s="86" t="s">
        <v>43</v>
      </c>
      <c r="D4" s="96" t="s">
        <v>44</v>
      </c>
      <c r="E4" s="82"/>
    </row>
    <row r="5" s="81" customFormat="1" ht="75.75" customHeight="1">
      <c r="A5" s="71" t="n">
        <v>3</v>
      </c>
      <c r="B5" s="127"/>
      <c r="C5" s="78" t="s">
        <v>45</v>
      </c>
      <c r="D5" s="133" t="s">
        <v>46</v>
      </c>
      <c r="E5" s="82"/>
    </row>
    <row r="6" s="81" customFormat="1" ht="18.75" customHeight="1">
      <c r="A6" s="71" t="n">
        <v>4</v>
      </c>
      <c r="B6" s="127"/>
      <c r="C6" s="78" t="s">
        <v>47</v>
      </c>
      <c r="D6" s="84" t="s">
        <v>48</v>
      </c>
      <c r="E6" s="82"/>
    </row>
    <row r="7" s="81" customFormat="1" ht="18.75" customHeight="1">
      <c r="A7" s="71" t="n">
        <v>5</v>
      </c>
      <c r="B7" s="127"/>
      <c r="C7" s="78" t="s">
        <v>49</v>
      </c>
      <c r="D7" s="84" t="s">
        <v>48</v>
      </c>
      <c r="E7" s="82"/>
    </row>
    <row r="8" s="81" customFormat="1" ht="18.75" customHeight="1">
      <c r="A8" s="71" t="n">
        <v>6</v>
      </c>
      <c r="B8" s="127"/>
      <c r="C8" s="78" t="s">
        <v>50</v>
      </c>
      <c r="D8" s="84" t="s">
        <v>51</v>
      </c>
      <c r="E8" s="82"/>
    </row>
    <row r="9" s="81" customFormat="1" ht="57" customHeight="1">
      <c r="A9" s="71" t="n">
        <v>7</v>
      </c>
      <c r="B9" s="127"/>
      <c r="C9" s="78" t="s">
        <v>52</v>
      </c>
      <c r="D9" s="134" t="s">
        <v>53</v>
      </c>
      <c r="E9" s="82"/>
    </row>
    <row r="10" s="81" customFormat="1" ht="75.75" customHeight="1">
      <c r="A10" s="71" t="n">
        <v>8</v>
      </c>
      <c r="B10" s="128"/>
      <c r="C10" s="78" t="s">
        <v>54</v>
      </c>
      <c r="D10" s="135" t="s">
        <v>55</v>
      </c>
      <c r="E10" s="82"/>
    </row>
  </sheetData>
  <sheetProtection insertHyperlinks="0" autoFilter="0"/>
  <mergeCells count="2">
    <mergeCell ref="A1:E1"/>
    <mergeCell ref="B3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7"/>
    <col min="2" max="2" width="25.6640625" customWidth="1" style="67"/>
    <col min="3" max="3" width="37.5" customWidth="1" style="69"/>
    <col min="4" max="4" width="99" customWidth="1" style="67"/>
    <col min="5" max="5" width="38.8330078125" customWidth="1" style="67"/>
    <col min="6" max="40" width="9.9990234375" hidden="1" style="67"/>
  </cols>
  <sheetData>
    <row r="1" ht="45" customHeight="1">
      <c r="A1" s="28" t="s">
        <v>56</v>
      </c>
      <c r="B1" s="68"/>
      <c r="C1" s="70"/>
      <c r="D1" s="68"/>
      <c r="E1" s="68"/>
    </row>
    <row r="2" ht="22.5" customHeight="1">
      <c r="A2" s="22" t="s">
        <v>5</v>
      </c>
      <c r="B2" s="64" t="s">
        <v>22</v>
      </c>
      <c r="C2" s="64" t="s">
        <v>23</v>
      </c>
      <c r="D2" s="64" t="s">
        <v>24</v>
      </c>
      <c r="E2" s="64" t="s">
        <v>25</v>
      </c>
    </row>
    <row r="3" ht="20.25" customHeight="1">
      <c r="A3" s="99" t="n">
        <v>1</v>
      </c>
      <c r="B3" s="105" t="s">
        <v>57</v>
      </c>
      <c r="C3" s="18" t="s">
        <v>58</v>
      </c>
      <c r="D3" s="111" t="s">
        <v>59</v>
      </c>
      <c r="E3" s="104"/>
    </row>
    <row r="4" ht="20.25" customHeight="1">
      <c r="A4" s="99" t="n">
        <v>2</v>
      </c>
      <c r="B4" s="105"/>
      <c r="C4" s="18" t="s">
        <v>60</v>
      </c>
      <c r="D4" s="111" t="s">
        <v>59</v>
      </c>
      <c r="E4" s="104"/>
    </row>
    <row r="5" ht="20.25" customHeight="1">
      <c r="A5" s="99" t="n">
        <v>3</v>
      </c>
      <c r="B5" s="105"/>
      <c r="C5" s="18" t="s">
        <v>61</v>
      </c>
      <c r="D5" s="111" t="s">
        <v>62</v>
      </c>
      <c r="E5" s="104"/>
    </row>
    <row r="6" ht="20.25" customHeight="1">
      <c r="A6" s="99" t="n">
        <v>4</v>
      </c>
      <c r="B6" s="105"/>
      <c r="C6" s="18" t="s">
        <v>63</v>
      </c>
      <c r="D6" s="111" t="s">
        <v>64</v>
      </c>
      <c r="E6" s="104"/>
    </row>
    <row r="7" ht="75.75" customHeight="1">
      <c r="A7" s="101" t="n">
        <v>1</v>
      </c>
      <c r="B7" s="102" t="s">
        <v>26</v>
      </c>
      <c r="C7" s="103" t="s">
        <v>65</v>
      </c>
      <c r="D7" s="136" t="s">
        <v>66</v>
      </c>
      <c r="E7" s="20"/>
    </row>
    <row r="8" ht="20.25" customHeight="1">
      <c r="A8" s="101" t="n">
        <v>2</v>
      </c>
      <c r="B8" s="94"/>
      <c r="C8" s="73" t="s">
        <v>67</v>
      </c>
      <c r="D8" s="111" t="s">
        <v>68</v>
      </c>
      <c r="E8" s="20"/>
    </row>
    <row r="9" ht="38.25" customHeight="1">
      <c r="A9" s="101" t="n">
        <v>3</v>
      </c>
      <c r="B9" s="94"/>
      <c r="C9" s="73" t="s">
        <v>69</v>
      </c>
      <c r="D9" s="111" t="s">
        <v>70</v>
      </c>
      <c r="E9" s="20"/>
    </row>
  </sheetData>
  <sheetProtection insertHyperlinks="0" autoFilter="0"/>
  <mergeCells count="4">
    <mergeCell ref="A1:E1"/>
    <mergeCell ref="B3:B6"/>
    <mergeCell ref="B7:B9"/>
    <mergeCell ref="E3:E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71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4.25" customHeight="1" hidden="1">
      <c r="A3" s="25" t="n">
        <v>1</v>
      </c>
      <c r="B3" s="75" t="s">
        <v>57</v>
      </c>
      <c r="C3" s="79"/>
      <c r="D3" s="74"/>
      <c r="E3" s="23"/>
    </row>
    <row r="4" ht="44.25" customHeight="1" hidden="1">
      <c r="A4" s="25" t="n">
        <v>2</v>
      </c>
      <c r="B4" s="75"/>
      <c r="C4" s="79"/>
      <c r="D4" s="74"/>
      <c r="E4" s="23"/>
    </row>
    <row r="5" ht="27" customHeight="1">
      <c r="A5" s="26" t="n">
        <v>1</v>
      </c>
      <c r="B5" s="16" t="s">
        <v>26</v>
      </c>
      <c r="C5" s="78"/>
      <c r="D5" s="84"/>
      <c r="E5" s="92"/>
    </row>
    <row r="6" ht="27" customHeight="1">
      <c r="A6" s="26" t="n">
        <v>2</v>
      </c>
      <c r="B6" s="85"/>
      <c r="C6" s="78"/>
      <c r="D6" s="84"/>
      <c r="E6" s="93"/>
    </row>
    <row r="7" ht="27" customHeight="1">
      <c r="A7" s="26" t="n">
        <v>3</v>
      </c>
      <c r="B7" s="85"/>
      <c r="C7" s="80"/>
      <c r="D7" s="84"/>
      <c r="E7" s="27"/>
    </row>
    <row r="24" ht="13.5" customHeight="1">
      <c r="C24" s="7"/>
    </row>
    <row r="26" ht="13.5" customHeight="1">
      <c r="D26" s="5"/>
    </row>
  </sheetData>
  <sheetProtection insertHyperlinks="0" autoFilter="0"/>
  <mergeCells count="3">
    <mergeCell ref="B5:B7"/>
    <mergeCell ref="A1:E1"/>
    <mergeCell ref="B3:B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72</v>
      </c>
      <c r="B1" s="66"/>
      <c r="C1" s="66"/>
      <c r="D1" s="30"/>
      <c r="E1" s="66"/>
    </row>
    <row r="2" ht="26.25" customHeight="1">
      <c r="A2" s="126" t="s">
        <v>5</v>
      </c>
      <c r="B2" s="12" t="s">
        <v>22</v>
      </c>
      <c r="C2" s="76" t="s">
        <v>23</v>
      </c>
      <c r="D2" s="12" t="s">
        <v>24</v>
      </c>
      <c r="E2" s="22" t="s">
        <v>25</v>
      </c>
    </row>
    <row r="3" ht="40.5" customHeight="1">
      <c r="A3" s="26" t="n">
        <v>1</v>
      </c>
      <c r="B3" s="16" t="s">
        <v>26</v>
      </c>
      <c r="C3" s="21" t="s">
        <v>73</v>
      </c>
      <c r="D3" s="109" t="s">
        <v>74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8.1640625" customWidth="1" style="7"/>
    <col min="5" max="5" width="67.8310546875" customWidth="1" style="6"/>
  </cols>
  <sheetData>
    <row r="1" ht="51" customHeight="1">
      <c r="A1" s="65" t="s">
        <v>75</v>
      </c>
      <c r="B1" s="66"/>
      <c r="C1" s="66"/>
      <c r="D1" s="30"/>
      <c r="E1" s="9"/>
    </row>
    <row r="2" ht="32.5" customHeight="1">
      <c r="A2" s="12" t="s">
        <v>5</v>
      </c>
      <c r="B2" s="12" t="s">
        <v>22</v>
      </c>
      <c r="C2" s="12" t="s">
        <v>23</v>
      </c>
      <c r="D2" s="76" t="s">
        <v>24</v>
      </c>
      <c r="E2" s="32" t="s">
        <v>25</v>
      </c>
    </row>
    <row r="3" ht="20.25" customHeight="1">
      <c r="A3" s="26" t="n">
        <v>1</v>
      </c>
      <c r="B3" s="120" t="s">
        <v>26</v>
      </c>
      <c r="C3" s="122" t="s">
        <v>76</v>
      </c>
      <c r="D3" s="123" t="s">
        <v>77</v>
      </c>
      <c r="E3" s="124"/>
    </row>
    <row r="4" ht="20.25" customHeight="1">
      <c r="A4" s="26" t="n">
        <v>2</v>
      </c>
      <c r="B4" s="121"/>
      <c r="C4" s="122" t="s">
        <v>78</v>
      </c>
      <c r="D4" s="113" t="s">
        <v>79</v>
      </c>
      <c r="E4" s="114"/>
    </row>
    <row r="5" ht="20.25" customHeight="1">
      <c r="A5" s="26" t="n">
        <v>3</v>
      </c>
      <c r="B5" s="121"/>
      <c r="C5" s="122" t="s">
        <v>80</v>
      </c>
      <c r="D5" s="113" t="s">
        <v>81</v>
      </c>
      <c r="E5" s="115" t="s">
        <v>82</v>
      </c>
    </row>
    <row r="6" ht="20.25" customHeight="1">
      <c r="A6" s="26" t="n">
        <v>4</v>
      </c>
      <c r="B6" s="121"/>
      <c r="C6" s="112"/>
      <c r="D6" s="113" t="s">
        <v>83</v>
      </c>
      <c r="E6" s="115"/>
    </row>
    <row r="7" ht="20.25" customHeight="1">
      <c r="A7" s="26" t="n">
        <v>5</v>
      </c>
      <c r="B7" s="121"/>
      <c r="C7" s="112"/>
      <c r="D7" s="113" t="s">
        <v>84</v>
      </c>
      <c r="E7" s="117"/>
    </row>
    <row r="8" ht="20.25" customHeight="1">
      <c r="A8" s="26" t="n">
        <v>6</v>
      </c>
      <c r="B8" s="121"/>
      <c r="C8" s="122" t="s">
        <v>85</v>
      </c>
      <c r="D8" s="118" t="s">
        <v>86</v>
      </c>
      <c r="E8" s="119"/>
    </row>
    <row r="9" ht="20.25" customHeight="1">
      <c r="A9" s="26" t="n">
        <v>7</v>
      </c>
      <c r="B9" s="121"/>
      <c r="C9" s="14" t="s">
        <v>87</v>
      </c>
      <c r="D9" s="118" t="s">
        <v>88</v>
      </c>
      <c r="E9" s="119"/>
    </row>
    <row r="10" ht="20.25" customHeight="1">
      <c r="A10" s="26" t="n">
        <v>8</v>
      </c>
      <c r="B10" s="121"/>
      <c r="C10" s="112"/>
      <c r="D10" s="116" t="s">
        <v>89</v>
      </c>
      <c r="E10" s="83"/>
    </row>
    <row r="11" ht="20.25" customHeight="1">
      <c r="A11" s="26" t="n">
        <v>9</v>
      </c>
      <c r="B11" s="121"/>
      <c r="C11" s="14" t="s">
        <v>90</v>
      </c>
      <c r="D11" s="87" t="s">
        <v>91</v>
      </c>
      <c r="E11" s="72"/>
    </row>
    <row r="12" ht="20.25" customHeight="1">
      <c r="A12" s="26" t="n">
        <v>10</v>
      </c>
      <c r="B12" s="121"/>
      <c r="C12" s="14" t="s">
        <v>92</v>
      </c>
      <c r="D12" s="87" t="s">
        <v>93</v>
      </c>
      <c r="E12" s="72"/>
    </row>
  </sheetData>
  <sheetProtection insertHyperlinks="0" autoFilter="0"/>
  <mergeCells count="4">
    <mergeCell ref="A1:E1"/>
    <mergeCell ref="B3:B12"/>
    <mergeCell ref="C5:C7"/>
    <mergeCell ref="C9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94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9.5" customHeight="1">
      <c r="A3" s="26" t="n">
        <v>1</v>
      </c>
      <c r="B3" s="13" t="s">
        <v>57</v>
      </c>
      <c r="C3" s="21"/>
      <c r="D3" s="98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95</v>
      </c>
      <c r="B1" s="9"/>
      <c r="C1" s="9"/>
      <c r="D1" s="10"/>
      <c r="E1" s="9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26" t="n">
        <v>1</v>
      </c>
      <c r="B3" s="16" t="s">
        <v>26</v>
      </c>
      <c r="C3" s="21"/>
      <c r="D3" s="90"/>
      <c r="E3" s="23"/>
    </row>
    <row r="18" ht="14.25" customHeight="1">
      <c r="D18" s="7" t="s">
        <v>96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97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4" customFormat="1" ht="40.5" customHeight="1" hidden="1">
      <c r="A3" s="11"/>
      <c r="B3" s="13" t="s">
        <v>57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2026-03-30T17:23:06Z</dcterms:modified>
</cp:coreProperties>
</file>