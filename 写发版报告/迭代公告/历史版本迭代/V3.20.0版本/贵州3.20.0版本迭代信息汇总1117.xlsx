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<sst xmlns="http://schemas.openxmlformats.org/spreadsheetml/2006/main">
  <si>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贵州基地-数智工厂3.20.0版本迭代概览</t>
  </si>
  <si>
    <t>本次试用迭代</t>
  </si>
  <si>
    <t>基地试用周期</t>
  </si>
  <si>
    <t>11月17日-11月24日（共8天）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</si>
  <si>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</si>
  <si>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</si>
  <si>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</si>
  <si>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</si>
  <si>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</si>
  <si>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</si>
  <si>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</si>
  <si>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</si>
  <si>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</si>
  <si>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</si>
  <si>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</si>
  <si>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</si>
  <si>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</si>
  <si>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</si>
  <si>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</si>
  <si>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</si>
  <si>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</si>
  <si>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贵州基地-仓储板块-2025年11月17日系统更新内容</t>
  </si>
  <si>
    <t>类型</t>
  </si>
  <si>
    <t>单据</t>
  </si>
  <si>
    <t>内容</t>
  </si>
  <si>
    <t>备注</t>
  </si>
  <si>
    <t>新增功能</t>
  </si>
  <si>
    <t>采购结算单</t>
  </si>
  <si>
    <t>菜单路径：仓储管理→采购管理
采购单结算审批的前提条件：相关联的入库单、修改单、冲销等需完成，支持选择多张采购单进行结算操作，操作完成后，对应采购单结算状态变更为“已结算”</t>
  </si>
  <si>
    <t>货品管理</t>
  </si>
  <si>
    <t>基础资料货品增加“启用多单位”，该类型仅用于物料大类备件，后续版本对接“备件领用单”使用</t>
  </si>
  <si>
    <t>调拨管理</t>
  </si>
  <si>
    <t>菜单路径：仓储管理→库房管理→成品管理→调拨管理
生产下线库存工厂调整为6501，检验合格的产品支持通过调拨货权转移至8096</t>
  </si>
  <si>
    <t>优化项</t>
  </si>
  <si>
    <t>原料入库单</t>
  </si>
  <si>
    <t>列表增加搜索送检类型筛选</t>
  </si>
  <si>
    <t>原料入库冲销</t>
  </si>
  <si>
    <t>移动类型101修改为102</t>
  </si>
  <si>
    <t>原料入库送检记录-流程/列表</t>
  </si>
  <si>
    <t>1、审批流新增条件&lt;送检类型&gt;
2、列表新增送检类型筛选</t>
  </si>
  <si>
    <t>原料入库送检记录-作废</t>
  </si>
  <si>
    <t>热缩膜、顶盖、空罐送检类型反向流程，新增&lt;作废&gt;操作
1、作废后相应的送检数量回退库存
2、原料入库单所关联的送检记录删除，送检状态由已送检变更为未送检
3、当操作作废后，可进行重新推送送检信息，或进行原料入库单的冲销操作</t>
  </si>
  <si>
    <t>原料入库送检记录-新增/编辑</t>
  </si>
  <si>
    <t>&lt;顶盖/底盖送检&gt;&lt;空罐送检&gt;新增编辑时，如果删除送检出库的批次后，同步删除推送关联的批次，解决未送检出库的批次状态异常，无法重新推送的问题</t>
  </si>
  <si>
    <t>原料入库计量抽检月报</t>
  </si>
  <si>
    <t>数据结构优化，按月度检查项目物料名称纸皮、热缩膜、白砂糖汇总优化</t>
  </si>
  <si>
    <t>原料抽检标准</t>
  </si>
  <si>
    <t>白砂糖新增“标准值2”，主要是针对湖北、福建基地45KG白砂糖标准配置</t>
  </si>
  <si>
    <t>原料入库抽检报告</t>
  </si>
  <si>
    <t>1、抽检率计算公式变更：“抽检率=实检数据合计 ÷ 入库总量 *100%”变更为“（实检数量*抽检标准值/入库总量）*100%”
2、实检数据是否合格判断√X调整为禁止编辑，严格依据配置标准触发
3、白砂糖类型支持标准值切换，对应实现湖北、福建基地45KG白砂糖登记</t>
  </si>
  <si>
    <t>原料需求单</t>
  </si>
  <si>
    <t>列表增加物料分类内容物、包材筛选</t>
  </si>
  <si>
    <t>原料发料记录</t>
  </si>
  <si>
    <t>1、发料时物料库存默认带出
2、发料物料分类“包材”时，依据需求单产线判断“移出仓库”、“移入仓库”默认带出
3、列表增加物料分类内容物、包材筛选</t>
  </si>
  <si>
    <t>货品库存明细</t>
  </si>
  <si>
    <t>列表页的可用库存合计显示小数4位</t>
  </si>
  <si>
    <t>备料领用单</t>
  </si>
  <si>
    <t> 出库明细增加 "使用设备"，"使用设备"数据源对应选择设备管理中的设备台账</t>
  </si>
  <si>
    <t>温湿度记录</t>
  </si>
  <si>
    <t>优化数据填写方式
1、支持多仓库数据填写
2、支持早中晚班数据填写</t>
  </si>
  <si>
    <t>贵州基地-生产板块-2025年11月17日系统更新内容</t>
  </si>
  <si>
    <t>灌装工序</t>
  </si>
  <si>
    <t>① 工序记录处“封口机清洁记录”调整成自由增减记录，新增时清洁人同步上条记录中的签名（可删除重签） 
② 工序记录处“封口机清洁记录”去掉监督人</t>
  </si>
  <si>
    <t>热缩工序</t>
  </si>
  <si>
    <t>“已完成”单据增加反审功能（即单据冲销）。仅支持修改基础信息（灰色区域）外的其他内容，修改后范围仅限该单据，不影响上下游数据</t>
  </si>
  <si>
    <t>称重逻辑调整</t>
  </si>
  <si>
    <r>
      <rPr>
        <color rgb="FF000000"/>
        <rFont val="宋体"/>
        <sz val="14"/>
      </rPr>
      <t xml:space="preserve">涉及物料称重、香精称重、盛料桶投料、配方箱等，详见链接：</t>
    </r>
    <r>
      <rPr>
        <color theme="10"/>
        <rFont val="宋体"/>
        <u/>
        <sz val="11"/>
      </rPr>
      <t xml:space="preserve">https://rp.mockplus.cn/rps/HC2Uw58_a0/H-0su1o6Eh?</t>
    </r>
    <r>
      <rPr>
        <color rgb="FF000000"/>
        <rFont val="宋体"/>
        <sz val="14"/>
      </rPr>
      <t xml:space="preserve"> </t>
    </r>
    <r>
      <t xml:space="preserve">
</t>
    </r>
    <r>
      <rPr>
        <color rgb="FF000000"/>
        <rFont val="宋体"/>
        <sz val="14"/>
      </rPr>
      <t xml:space="preserve">注：复制链接到浏览器打开</t>
    </r>
  </si>
  <si>
    <t>贵州-质量板块-2025年11月17系统更新内容</t>
  </si>
  <si>
    <t>水质检测报告</t>
  </si>
  <si>
    <t>电导率（25度）字段显示为 电导率</t>
  </si>
  <si>
    <t>RO水检测记录表</t>
  </si>
  <si>
    <t>检测控制温度字段贵州基地也不显示</t>
  </si>
  <si>
    <t>工序控制检验报告</t>
  </si>
  <si>
    <t>1、封口机卫生：贵州基地从检测一次改成两次；
2、冷却水：贵州基地也显示，但是检测内容只检测  “pH”
3、水温与环境湿度结果的组别枚举值增加A组和B组，并且贵州基地控制只显示枚举值A组和B组；
</t>
  </si>
  <si>
    <t>定量检测原始记录</t>
  </si>
  <si>
    <t>检测时间放开置灰，增加必填标识</t>
  </si>
  <si>
    <t>不合格品处置单</t>
  </si>
  <si>
    <t>原料类型=空罐时，则匹配空罐+彩印铁类型的供应商拱其选取</t>
  </si>
  <si>
    <t>配料/拆包/码垛岗位在线检测设备记录表</t>
  </si>
  <si>
    <t>检测设备增加填写开关，关闭以后该检测设备所有相关的填写内容的置灰，打“-”</t>
  </si>
  <si>
    <t>产品质量跟踪质量报告</t>
  </si>
  <si>
    <t>填写缺陷电流更新为小数点后两位小数</t>
  </si>
  <si>
    <t>热缩膜检验报告</t>
  </si>
  <si>
    <t>1、单据状态：增加“作废”状态，作废状态的数据不能编辑只能查看，并且列表页那一行显示灰色
2、编辑/详情页增加“作废”按钮：只要单据状态不等于“作废”都能使用，单据状态改为作废，如果有关联的复检单也一同作废；该按钮需要支持权限控制；</t>
  </si>
  <si>
    <t>原材料复检单</t>
  </si>
  <si>
    <t>1、单据状态：增加“作废”状态，作废状态的数据不能编辑只能查看，并且列表页那一行显示灰色；该状态通过对应检验单据作废后系统自动变更；</t>
  </si>
  <si>
    <t>内容物外检单</t>
  </si>
  <si>
    <t>列表/新增编辑页面增加样品编号和样品名称的显示；</t>
  </si>
  <si>
    <t>内容物外检申请单</t>
  </si>
  <si>
    <t>增加“样品名称”字段，根据所选样品编号自动写入样品名称</t>
  </si>
  <si>
    <t>计量外检</t>
  </si>
  <si>
    <t>选择计量器具窗口内显示信息增加“下次检定日期”的显示和查询</t>
  </si>
  <si>
    <t>公司级周排查</t>
  </si>
  <si>
    <t>复核员签字 字段改名为  审核人签字</t>
  </si>
  <si>
    <t>理化及微生物检验报告</t>
  </si>
  <si>
    <t>1、将“细菌总数”与“大肠杆菌”分别改名为“菌落总数”和“大肠菌群”；此改动只针对湖北基地
2、统计日期：创建时自动生成，根据检验日期+1和检验日期+2生产，具体看下图；
3、控制：细菌总数和大肠杆菌只有当前日期大于等于统计日期1的时候才能填写，酵母菌和霉菌只有当前日期大于等于统计日期2的时候才能填写；
4、数据呈现，需要在报告中增加最大值、最小值、极差、标准差的显示；（客户给的标准差的示例文件已上传到附件）</t>
  </si>
  <si>
    <t>顶盖/底盖检验报告</t>
  </si>
  <si>
    <t>列表页和新增编辑页增加“包号”的显示</t>
  </si>
  <si>
    <t>天平校准记录</t>
  </si>
  <si>
    <t>列表页增加使用地点和使用地点的查询条件</t>
  </si>
  <si>
    <t>工序异常记录</t>
  </si>
  <si>
    <t>新增页面也需要显示“确认完成”按钮，点击以后自动保存并且确认单据</t>
  </si>
  <si>
    <t>贵州基地-设备板块-2025年11月17日系统更新内容</t>
  </si>
  <si>
    <t>借入申请单</t>
  </si>
  <si>
    <t>补充"采购单价(元)"和"合计金额(元)"</t>
  </si>
  <si>
    <t>借出确认单</t>
  </si>
  <si>
    <t>能源抄表明细</t>
  </si>
  <si>
    <t>筛选条件增加"采集表名"</t>
  </si>
  <si>
    <t>停机误时维修单</t>
  </si>
  <si>
    <t>对接仓储&lt;备件领用单&gt;数据进行更换备件</t>
  </si>
  <si>
    <t>重大故障分析改善</t>
  </si>
  <si>
    <t>审批流增加"审批意见"编辑文本</t>
  </si>
  <si>
    <t>设备固资台账</t>
  </si>
  <si>
    <t>批量修改“所属产线”，批量导入设备对应的备件</t>
  </si>
  <si>
    <t>贵州基地-安全板块-2025年11月17日系统更新内容</t>
  </si>
  <si>
    <t>高压灭菌锅日检查表</t>
  </si>
  <si>
    <t>优化填写内容，异常时填写异常原因，增加岗位选择</t>
  </si>
  <si>
    <t>岗位隐患排查清单</t>
  </si>
  <si>
    <t>贵州基地-人事行政板块-2025年11月17日系统更新内容</t>
  </si>
  <si>
    <t>标准工时考核细则</t>
  </si>
  <si>
    <t>PC端-功能路径【人事行政】-&gt;【人事管理】-&gt;【绩效管理】
通过设置明确的考核细则条款和标准工时月度汇总规则，每个月自动生成员工绩效表进行自评提交至主管和经理进行复​评，完成考核闭环。</t>
  </si>
  <si>
    <t>绩效考核设置-标准工时月度考核汇总规则</t>
  </si>
  <si>
    <t>标准工时绩效表</t>
  </si>
  <si>
    <t>标准工时个人绩效</t>
  </si>
  <si>
    <t>用车申请</t>
  </si>
  <si>
    <t>用车人区分内外部且多选</t>
  </si>
  <si>
    <t>已完成用车申请自动生成车辆行驶记录</t>
  </si>
  <si>
    <t>新增待派车和待还车状态和通知</t>
  </si>
  <si>
    <t>优化派车人和还车司机无需在审批流程中配置，派车人为固定节点配置，还车司机读取派车人在单据上指派的司机</t>
  </si>
  <si>
    <t>退休管理</t>
  </si>
  <si>
    <t>临近或已到退休日期的员工支持发起退休审批流程，审批结束后可填写实际退休日期和退休处置结果</t>
  </si>
  <si>
    <t>培训记录</t>
  </si>
  <si>
    <t>支持批量导出培训记录数据</t>
  </si>
  <si>
    <t>多能工管理</t>
  </si>
  <si>
    <t>审核支持备注信息和上传附件；多能工审批生效后支持调整失效日期</t>
  </si>
  <si>
    <t>入职管理</t>
  </si>
  <si>
    <t>支持批量导入数据</t>
  </si>
  <si>
    <t>贵州基地-财务板块-2025年11月17日系统更新内容</t>
  </si>
  <si>
    <t>贵州基地-基础板块-2025年11月17日系统更新内容</t>
  </si>
  <si>
    <t>流程设置</t>
  </si>
  <si>
    <t>抄送节点的人员支持有发起人自选</t>
  </si>
  <si>
    <t>知识仓库</t>
  </si>
  <si>
    <t>文件在线预览时如果已限制下载时隐藏下载按钮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</si>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</sst>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宋体"/>
    </font>
    <font>
      <sz val="14"/>
      <color rgb="FFFE0300"/>
      <name val="微软雅黑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宋体"/>
    </font>
    <font>
      <sz val="14"/>
      <color rgb="FF00000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10" fillId="0" borderId="2" xfId="0" applyFont="1" applyBorder="1" applyProtection="1">
      <alignment horizontal="center" vertical="center"/>
    </xf>
    <xf numFmtId="0" fontId="8" fillId="3" borderId="3" xfId="0" applyFont="1" applyFill="1" applyBorder="1" applyProtection="1">
      <alignment horizontal="center" vertical="center"/>
    </xf>
    <xf numFmtId="0" fontId="9" fillId="4" borderId="4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4" borderId="0" xfId="0" applyFont="1" applyFill="1">
      <alignment horizontal="center" vertical="center"/>
    </xf>
    <xf numFmtId="0" fontId="9" fillId="5" borderId="4" xfId="0" applyFont="1" applyFill="1" applyBorder="1" applyProtection="1">
      <alignment horizontal="center" vertical="center"/>
    </xf>
    <xf numFmtId="0" fontId="9" fillId="5" borderId="0" xfId="0" applyFont="1" applyFill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9" fillId="4" borderId="5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7" fillId="0" borderId="6" xfId="0" applyFont="1" applyBorder="1" applyProtection="1">
      <alignment horizontal="center" vertical="center"/>
    </xf>
    <xf numFmtId="0" fontId="11" fillId="0" borderId="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center" vertical="center"/>
    </xf>
    <xf numFmtId="0" fontId="9" fillId="6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general" vertical="center"/>
    </xf>
    <xf numFmtId="0" fontId="5" fillId="7" borderId="1" xfId="0" applyFont="1" applyFill="1" applyBorder="1" applyProtection="1">
      <alignment horizontal="center" vertical="center" wrapText="1"/>
    </xf>
    <xf numFmtId="0" fontId="13" fillId="0" borderId="1" xfId="0" applyFont="1" applyBorder="1" applyProtection="1">
      <alignment horizontal="general" vertical="center"/>
    </xf>
    <xf numFmtId="0" fontId="8" fillId="8" borderId="1" xfId="0" applyFont="1" applyFill="1" applyBorder="1" applyProtection="1">
      <alignment horizontal="center" vertical="center"/>
    </xf>
    <xf numFmtId="0" fontId="14" fillId="0" borderId="0" xfId="0" applyFont="1">
      <alignment horizontal="general" vertical="center"/>
    </xf>
    <xf numFmtId="0" fontId="6" fillId="2" borderId="3" xfId="0" applyFont="1" applyFill="1" applyBorder="1" applyProtection="1">
      <alignment horizontal="left" vertical="center"/>
    </xf>
    <xf numFmtId="0" fontId="8" fillId="3" borderId="7" xfId="0" applyFont="1" applyFill="1" applyBorder="1" applyProtection="1">
      <alignment horizontal="center" vertical="center"/>
    </xf>
    <xf numFmtId="0" fontId="8" fillId="3" borderId="8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6" fillId="2" borderId="9" xfId="0" applyFont="1" applyFill="1" applyBorder="1" applyProtection="1">
      <alignment horizontal="center" vertical="center" wrapText="1"/>
    </xf>
    <xf numFmtId="0" fontId="6" fillId="2" borderId="10" xfId="0" applyFont="1" applyFill="1" applyBorder="1" applyProtection="1">
      <alignment horizontal="center" vertical="center" wrapText="1"/>
    </xf>
    <xf numFmtId="0" fontId="15" fillId="9" borderId="11" xfId="0" applyFont="1" applyFill="1" applyBorder="1" applyProtection="1">
      <alignment horizontal="center" vertical="center" wrapText="1"/>
    </xf>
    <xf numFmtId="0" fontId="15" fillId="9" borderId="1" xfId="0" applyFont="1" applyFill="1" applyBorder="1" applyProtection="1">
      <alignment horizontal="center" vertical="center" wrapText="1"/>
    </xf>
    <xf numFmtId="164" fontId="16" fillId="9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9" borderId="1" xfId="0" applyFont="1" applyFill="1" applyBorder="1" applyProtection="1">
      <alignment horizontal="left" vertical="center" wrapText="1"/>
    </xf>
    <xf numFmtId="164" fontId="19" fillId="9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11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9" borderId="11" xfId="0" applyFont="1" applyFill="1" applyBorder="1" applyProtection="1">
      <alignment horizontal="center" vertical="center" wrapText="1"/>
    </xf>
    <xf numFmtId="0" fontId="22" fillId="9" borderId="1" xfId="0" applyFont="1" applyFill="1" applyBorder="1" applyProtection="1">
      <alignment horizontal="center" vertical="center" wrapText="1"/>
    </xf>
    <xf numFmtId="0" fontId="23" fillId="0" borderId="12" xfId="0" applyFont="1" applyBorder="1" applyProtection="1">
      <alignment horizontal="left" vertical="center"/>
    </xf>
    <xf numFmtId="0" fontId="23" fillId="0" borderId="13" xfId="0" applyFont="1" applyBorder="1" applyProtection="1">
      <alignment horizontal="left" vertical="center"/>
    </xf>
    <xf numFmtId="0" fontId="24" fillId="0" borderId="12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6" fillId="2" borderId="15" xfId="0" applyFont="1" applyFill="1" applyBorder="1" applyProtection="1">
      <alignment horizontal="center" vertical="center" wrapText="1"/>
    </xf>
    <xf numFmtId="0" fontId="17" fillId="0" borderId="16" xfId="0" applyFont="1" applyBorder="1" applyProtection="1">
      <alignment horizontal="left" vertical="center"/>
    </xf>
    <xf numFmtId="0" fontId="18" fillId="9" borderId="16" xfId="0" applyFont="1" applyFill="1" applyBorder="1" applyProtection="1">
      <alignment horizontal="left" vertical="center" wrapText="1"/>
    </xf>
    <xf numFmtId="0" fontId="20" fillId="0" borderId="16" xfId="0" applyFont="1" applyBorder="1" applyProtection="1">
      <alignment horizontal="left" vertical="center"/>
    </xf>
    <xf numFmtId="0" fontId="15" fillId="3" borderId="16" xfId="0" applyFont="1" applyFill="1" applyBorder="1" applyProtection="1">
      <alignment horizontal="center" vertical="center" wrapText="1"/>
    </xf>
    <xf numFmtId="0" fontId="23" fillId="0" borderId="17" xfId="0" applyFont="1" applyBorder="1" applyProtection="1">
      <alignment horizontal="left" vertical="center"/>
    </xf>
    <xf numFmtId="0" fontId="24" fillId="0" borderId="17" xfId="0" applyFont="1" applyBorder="1" applyProtection="1">
      <alignment horizontal="left" vertical="center"/>
    </xf>
    <xf numFmtId="0" fontId="25" fillId="0" borderId="18" xfId="0" applyFont="1" applyBorder="1" applyProtection="1">
      <alignment horizontal="left" vertical="center"/>
    </xf>
    <xf numFmtId="0" fontId="10" fillId="0" borderId="7" xfId="0" applyFont="1" applyBorder="1" applyProtection="1">
      <alignment horizontal="center" vertical="center"/>
    </xf>
    <xf numFmtId="0" fontId="10" fillId="0" borderId="6" xfId="0" applyFont="1" applyBorder="1" applyProtection="1">
      <alignment horizontal="center" vertical="center"/>
    </xf>
    <xf numFmtId="0" fontId="10" fillId="0" borderId="1" xfId="0" applyFont="1" applyBorder="1" applyProtection="1">
      <alignment horizontal="left" vertical="center"/>
    </xf>
    <xf numFmtId="0" fontId="26" fillId="9" borderId="1" xfId="0" applyFont="1" applyFill="1" applyBorder="1" applyProtection="1">
      <alignment horizontal="center" vertical="center" wrapText="1"/>
    </xf>
    <xf numFmtId="0" fontId="27" fillId="9" borderId="1" xfId="0" applyFont="1" applyFill="1" applyBorder="1" applyProtection="1">
      <alignment horizontal="center" vertical="center" wrapText="1"/>
    </xf>
    <xf numFmtId="0" fontId="28" fillId="9" borderId="16" xfId="0" applyFont="1" applyFill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13" fillId="0" borderId="5" xfId="0" applyFont="1" applyBorder="1" applyProtection="1">
      <alignment horizontal="general" vertical="center"/>
    </xf>
    <xf numFmtId="0" fontId="11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left" vertical="center"/>
    </xf>
    <xf numFmtId="0" fontId="8" fillId="8" borderId="3" xfId="0" applyFont="1" applyFill="1" applyBorder="1" applyProtection="1">
      <alignment horizontal="center" vertical="center"/>
    </xf>
    <xf numFmtId="0" fontId="13" fillId="0" borderId="1" xfId="0" applyFont="1" applyBorder="1" applyProtection="1">
      <alignment horizontal="general" vertical="center"/>
    </xf>
    <xf numFmtId="0" fontId="30" fillId="0" borderId="1" xfId="0" applyFont="1" applyBorder="1" applyProtection="1">
      <alignment horizontal="center" vertical="center"/>
    </xf>
    <xf numFmtId="0" fontId="10" fillId="0" borderId="8" xfId="0" applyFont="1" applyBorder="1" applyProtection="1">
      <alignment horizontal="center" vertical="center"/>
    </xf>
    <xf numFmtId="0" fontId="31" fillId="0" borderId="19" xfId="0" applyFont="1" applyBorder="1" applyProtection="1">
      <alignment horizontal="left" vertical="center"/>
    </xf>
    <xf numFmtId="0" fontId="11" fillId="0" borderId="1" xfId="0" applyFont="1" applyBorder="1" applyProtection="1">
      <alignment horizontal="left" vertical="center" wrapText="1"/>
    </xf>
    <xf numFmtId="0" fontId="9" fillId="4" borderId="3" xfId="0" applyFont="1" applyFill="1" applyBorder="1" applyProtection="1">
      <alignment horizontal="center" vertical="center"/>
    </xf>
    <xf numFmtId="0" fontId="5" fillId="2" borderId="3" xfId="0" applyFont="1" applyFill="1" applyBorder="1" applyProtection="1">
      <alignment horizontal="center" vertical="center" wrapText="1"/>
    </xf>
    <xf numFmtId="0" fontId="6" fillId="2" borderId="3" xfId="0" applyFont="1" applyFill="1" applyBorder="1" applyProtection="1">
      <alignment horizontal="center" vertical="center"/>
    </xf>
    <xf numFmtId="0" fontId="9" fillId="6" borderId="3" xfId="0" applyFont="1" applyFill="1" applyBorder="1" applyProtection="1">
      <alignment horizontal="center" vertical="center"/>
    </xf>
    <xf numFmtId="0" fontId="32" fillId="0" borderId="5" xfId="0" applyFont="1" applyBorder="1" applyProtection="1">
      <alignment vertical="center"/>
    </xf>
    <xf numFmtId="0" fontId="32" fillId="0" borderId="20" xfId="0" applyFont="1" applyBorder="1" applyProtection="1">
      <alignment vertical="center"/>
    </xf>
    <xf numFmtId="0" fontId="13" fillId="0" borderId="6" xfId="0" applyFont="1" applyBorder="1" applyProtection="1">
      <alignment horizontal="general" vertical="center"/>
    </xf>
    <xf numFmtId="0" fontId="32" fillId="0" borderId="21" xfId="0" applyFont="1" applyBorder="1" applyProtection="1">
      <alignment vertical="center"/>
    </xf>
    <xf numFmtId="0" fontId="11" fillId="0" borderId="7" xfId="0" applyFont="1" applyBorder="1" applyProtection="1">
      <alignment horizontal="left" vertical="center" wrapText="1"/>
    </xf>
    <xf numFmtId="0" fontId="32" fillId="0" borderId="22" xfId="0" applyFont="1" applyBorder="1" applyProtection="1">
      <alignment vertical="center"/>
    </xf>
    <xf numFmtId="0" fontId="32" fillId="0" borderId="23" xfId="0" applyFont="1" applyBorder="1" applyProtection="1">
      <alignment vertical="center"/>
    </xf>
    <xf numFmtId="0" fontId="32" fillId="0" borderId="24" xfId="0" applyFont="1" applyBorder="1" applyProtection="1">
      <alignment vertical="center"/>
    </xf>
    <xf numFmtId="0" fontId="10" fillId="0" borderId="23" xfId="0" applyFont="1" applyBorder="1" applyProtection="1">
      <alignment horizontal="center" vertical="center"/>
    </xf>
    <xf numFmtId="0" fontId="9" fillId="5" borderId="3" xfId="0" applyFont="1" applyFill="1" applyBorder="1" applyProtection="1">
      <alignment horizontal="center" vertical="center"/>
    </xf>
    <xf numFmtId="0" fontId="33" fillId="0" borderId="19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7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_rels/sheet3.xml.rels><?xml version="1.0" encoding="UTF-8" standalone="yes"?>
<Relationships
    xmlns="http://schemas.openxmlformats.org/package/2006/relationships"><Relationship Id="rId1" Type="http://schemas.openxmlformats.org/officeDocument/2006/relationships/hyperlink" Target="https://rp.mockplus.cn/rps/HC2Uw58_a0/H-0su1o6Eh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30"/>
    <col min="2" max="2" width="10.3330078125" customWidth="1" style="30"/>
    <col min="3" max="3" width="12.83203125" customWidth="1" style="30"/>
    <col min="4" max="4" width="15" customWidth="1" style="30"/>
    <col min="5" max="5" width="13.5" customWidth="1" style="30"/>
  </cols>
  <sheetData>
    <row r="1" ht="24.75" customHeight="1">
      <c r="A1" s="49" t="s">
        <v>0</v>
      </c>
      <c r="B1" s="50"/>
      <c r="C1" s="50"/>
      <c r="D1" s="50"/>
      <c r="E1" s="67"/>
    </row>
    <row r="2" ht="18" customHeight="1">
      <c r="A2" s="51" t="s">
        <v>1</v>
      </c>
      <c r="B2" s="52"/>
      <c r="C2" s="53" t="n">
        <v>45978</v>
      </c>
      <c r="D2" s="54"/>
      <c r="E2" s="68"/>
    </row>
    <row r="3" ht="18" customHeight="1">
      <c r="A3" s="51" t="s">
        <v>2</v>
      </c>
      <c r="B3" s="52"/>
      <c r="C3" s="55" t="s">
        <v>3</v>
      </c>
      <c r="D3" s="55"/>
      <c r="E3" s="69"/>
    </row>
    <row r="4" ht="18" customHeight="1">
      <c r="A4" s="51" t="s">
        <v>4</v>
      </c>
      <c r="B4" s="52"/>
      <c r="C4" s="56" t="n">
        <v>45985</v>
      </c>
      <c r="D4" s="57"/>
      <c r="E4" s="70"/>
    </row>
    <row r="5" ht="16.5" customHeight="1">
      <c r="A5" s="58" t="s">
        <v>5</v>
      </c>
      <c r="B5" s="59" t="s">
        <v>6</v>
      </c>
      <c r="C5" s="59" t="s">
        <v>7</v>
      </c>
      <c r="D5" s="59" t="s">
        <v>8</v>
      </c>
      <c r="E5" s="71" t="s">
        <v>9</v>
      </c>
    </row>
    <row r="6" ht="13.5" customHeight="1">
      <c r="A6" s="60" t="n">
        <v>1</v>
      </c>
      <c r="B6" s="61" t="s">
        <v>10</v>
      </c>
      <c r="C6" s="78" t="n">
        <v>3</v>
      </c>
      <c r="D6" s="79" t="n">
        <v>13</v>
      </c>
      <c r="E6" s="80" t="n">
        <f>C6+D6</f>
        <v>15</v>
      </c>
    </row>
    <row r="7" ht="13.5" customHeight="1">
      <c r="A7" s="60" t="n">
        <v>2</v>
      </c>
      <c r="B7" s="61" t="s">
        <v>11</v>
      </c>
      <c r="C7" s="78" t="n">
        <v>0</v>
      </c>
      <c r="D7" s="79" t="n">
        <v>3</v>
      </c>
      <c r="E7" s="80" t="n">
        <f>C7+D7</f>
        <v>0</v>
      </c>
    </row>
    <row r="8" ht="13.5" customHeight="1">
      <c r="A8" s="60" t="n">
        <v>3</v>
      </c>
      <c r="B8" s="61" t="s">
        <v>12</v>
      </c>
      <c r="C8" s="78" t="n">
        <v>0</v>
      </c>
      <c r="D8" s="79" t="n">
        <v>17</v>
      </c>
      <c r="E8" s="80" t="n">
        <f>C8+D8</f>
        <v>0</v>
      </c>
    </row>
    <row r="9" ht="13.5" customHeight="1">
      <c r="A9" s="60" t="n">
        <v>4</v>
      </c>
      <c r="B9" s="61" t="s">
        <v>13</v>
      </c>
      <c r="C9" s="78" t="n">
        <v>0</v>
      </c>
      <c r="D9" s="79" t="n">
        <v>6</v>
      </c>
      <c r="E9" s="80" t="n">
        <f>C9+D9</f>
        <v>6</v>
      </c>
    </row>
    <row r="10" ht="13.5" customHeight="1">
      <c r="A10" s="60" t="n">
        <v>5</v>
      </c>
      <c r="B10" s="61" t="s">
        <v>14</v>
      </c>
      <c r="C10" s="78" t="n">
        <v>0</v>
      </c>
      <c r="D10" s="79" t="n">
        <v>2</v>
      </c>
      <c r="E10" s="80" t="n">
        <f>C10+D10</f>
        <v>0</v>
      </c>
    </row>
    <row r="11" ht="13.5" customHeight="1">
      <c r="A11" s="60" t="n">
        <v>6</v>
      </c>
      <c r="B11" s="61" t="s">
        <v>15</v>
      </c>
      <c r="C11" s="78" t="n">
        <v>4</v>
      </c>
      <c r="D11" s="79" t="n">
        <v>8</v>
      </c>
      <c r="E11" s="80" t="n">
        <f>C11+D11</f>
        <v>12</v>
      </c>
    </row>
    <row r="12" ht="13.5" customHeight="1">
      <c r="A12" s="60" t="n">
        <v>7</v>
      </c>
      <c r="B12" s="61" t="s">
        <v>16</v>
      </c>
      <c r="C12" s="78" t="n">
        <v>0</v>
      </c>
      <c r="D12" s="79" t="n">
        <v>0</v>
      </c>
      <c r="E12" s="80" t="n">
        <f>C12+D12</f>
        <v>0</v>
      </c>
    </row>
    <row r="13" ht="13.5" customHeight="1">
      <c r="A13" s="60" t="n">
        <v>8</v>
      </c>
      <c r="B13" s="61" t="s">
        <v>17</v>
      </c>
      <c r="C13" s="78" t="n">
        <v>0</v>
      </c>
      <c r="D13" s="79" t="n">
        <v>2</v>
      </c>
      <c r="E13" s="80" t="n">
        <f>C13+D13</f>
        <v>2</v>
      </c>
    </row>
    <row r="14" ht="13.5" customHeight="1">
      <c r="A14" s="60" t="n">
        <v>9</v>
      </c>
      <c r="B14" s="61" t="s">
        <v>9</v>
      </c>
      <c r="C14" s="78" t="n">
        <f>C6+C7+C8+C9+C10+C11+C12+C13</f>
        <v>6</v>
      </c>
      <c r="D14" s="79" t="n">
        <f>D6+D7+D8+D9+D10+D11+D13+D12</f>
        <v>29</v>
      </c>
      <c r="E14" s="80" t="n">
        <f>C14+D14</f>
        <v>35</v>
      </c>
    </row>
    <row r="15" ht="13.5" customHeight="1">
      <c r="A15" s="62" t="s">
        <v>18</v>
      </c>
      <c r="B15" s="63"/>
      <c r="C15" s="63"/>
      <c r="D15" s="63"/>
      <c r="E15" s="72"/>
    </row>
    <row r="16" ht="13.5" customHeight="1">
      <c r="A16" s="64" t="s">
        <v>19</v>
      </c>
      <c r="B16" s="65"/>
      <c r="C16" s="65"/>
      <c r="D16" s="65"/>
      <c r="E16" s="73"/>
    </row>
    <row r="17" ht="13.5" customHeight="1">
      <c r="A17" s="105" t="s">
        <v>20</v>
      </c>
      <c r="B17" s="66"/>
      <c r="C17" s="66"/>
      <c r="D17" s="66"/>
      <c r="E17" s="74"/>
    </row>
  </sheetData>
  <sheetProtection insertHyperlinks="0" autoFilter="0"/>
  <mergeCells count="10">
    <mergeCell ref="A3:B3"/>
    <mergeCell ref="A17:E17"/>
    <mergeCell ref="A4:B4"/>
    <mergeCell ref="A15:E15"/>
    <mergeCell ref="A16:E16"/>
    <mergeCell ref="C2:E2"/>
    <mergeCell ref="C3:E3"/>
    <mergeCell ref="C4:E4"/>
    <mergeCell ref="A1:E1"/>
    <mergeCell ref="A2:B2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3" width="25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47"/>
      <c r="C1" s="47"/>
      <c r="D1" s="48"/>
      <c r="E1" s="47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66" customHeight="1">
      <c r="A3" s="34" t="n">
        <v>1</v>
      </c>
      <c r="B3" s="91" t="s">
        <v>26</v>
      </c>
      <c r="C3" s="20" t="s">
        <v>27</v>
      </c>
      <c r="D3" s="106" t="s">
        <v>28</v>
      </c>
      <c r="E3" s="19"/>
    </row>
    <row r="4" ht="39.75" customHeight="1">
      <c r="A4" s="34" t="n">
        <v>2</v>
      </c>
      <c r="B4" s="95"/>
      <c r="C4" s="20" t="s">
        <v>29</v>
      </c>
      <c r="D4" s="90" t="s">
        <v>30</v>
      </c>
      <c r="E4" s="19"/>
    </row>
    <row r="5" ht="39.75" customHeight="1">
      <c r="A5" s="34" t="n">
        <v>3</v>
      </c>
      <c r="B5" s="96"/>
      <c r="C5" s="20" t="s">
        <v>31</v>
      </c>
      <c r="D5" s="107" t="s">
        <v>32</v>
      </c>
      <c r="E5" s="19"/>
    </row>
    <row r="6" ht="39.75" customHeight="1">
      <c r="A6" s="34" t="n">
        <v>1</v>
      </c>
      <c r="B6" s="94" t="s">
        <v>33</v>
      </c>
      <c r="C6" s="20" t="s">
        <v>34</v>
      </c>
      <c r="D6" s="90" t="s">
        <v>35</v>
      </c>
      <c r="E6" s="19"/>
    </row>
    <row r="7" ht="39.75" customHeight="1">
      <c r="A7" s="34" t="n">
        <v>2</v>
      </c>
      <c r="B7" s="95"/>
      <c r="C7" s="20" t="s">
        <v>36</v>
      </c>
      <c r="D7" s="90" t="s">
        <v>37</v>
      </c>
      <c r="E7" s="19"/>
    </row>
    <row r="8" ht="39.75" customHeight="1">
      <c r="A8" s="34" t="n">
        <v>3</v>
      </c>
      <c r="B8" s="95"/>
      <c r="C8" s="20" t="s">
        <v>38</v>
      </c>
      <c r="D8" s="108" t="s">
        <v>39</v>
      </c>
      <c r="E8" s="19"/>
    </row>
    <row r="9" ht="76.5" customHeight="1">
      <c r="A9" s="34" t="n">
        <v>4</v>
      </c>
      <c r="B9" s="95"/>
      <c r="C9" s="20" t="s">
        <v>40</v>
      </c>
      <c r="D9" s="109" t="s">
        <v>41</v>
      </c>
      <c r="E9" s="19"/>
    </row>
    <row r="10" ht="50.25" customHeight="1">
      <c r="A10" s="34" t="n">
        <v>5</v>
      </c>
      <c r="B10" s="95"/>
      <c r="C10" s="20" t="s">
        <v>42</v>
      </c>
      <c r="D10" s="90" t="s">
        <v>43</v>
      </c>
      <c r="E10" s="19"/>
    </row>
    <row r="11" ht="36.75" customHeight="1">
      <c r="A11" s="34" t="n">
        <v>6</v>
      </c>
      <c r="B11" s="95"/>
      <c r="C11" s="20" t="s">
        <v>44</v>
      </c>
      <c r="D11" s="90" t="s">
        <v>45</v>
      </c>
      <c r="E11" s="19"/>
    </row>
    <row r="12" ht="36.75" customHeight="1">
      <c r="A12" s="34" t="n">
        <v>7</v>
      </c>
      <c r="B12" s="95"/>
      <c r="C12" s="20" t="s">
        <v>46</v>
      </c>
      <c r="D12" s="90" t="s">
        <v>47</v>
      </c>
      <c r="E12" s="19"/>
    </row>
    <row r="13" ht="68.25" customHeight="1">
      <c r="A13" s="34" t="n">
        <v>8</v>
      </c>
      <c r="B13" s="95"/>
      <c r="C13" s="20" t="s">
        <v>48</v>
      </c>
      <c r="D13" s="110" t="s">
        <v>49</v>
      </c>
      <c r="E13" s="19"/>
    </row>
    <row r="14" ht="36.75" customHeight="1">
      <c r="A14" s="34" t="n">
        <v>9</v>
      </c>
      <c r="B14" s="95"/>
      <c r="C14" s="20" t="s">
        <v>50</v>
      </c>
      <c r="D14" s="90" t="s">
        <v>51</v>
      </c>
      <c r="E14" s="19"/>
    </row>
    <row r="15" ht="58.5" customHeight="1">
      <c r="A15" s="34" t="n">
        <v>10</v>
      </c>
      <c r="B15" s="95"/>
      <c r="C15" s="20" t="s">
        <v>52</v>
      </c>
      <c r="D15" s="111" t="s">
        <v>53</v>
      </c>
      <c r="E15" s="28"/>
    </row>
    <row r="16" ht="24.75" customHeight="1">
      <c r="A16" s="34" t="n">
        <v>11</v>
      </c>
      <c r="B16" s="95"/>
      <c r="C16" s="20" t="s">
        <v>54</v>
      </c>
      <c r="D16" s="90" t="s">
        <v>55</v>
      </c>
      <c r="E16" s="28"/>
    </row>
    <row r="17" ht="24.75" customHeight="1">
      <c r="A17" s="34" t="n">
        <v>12</v>
      </c>
      <c r="B17" s="95"/>
      <c r="C17" s="20" t="s">
        <v>56</v>
      </c>
      <c r="D17" s="90" t="s">
        <v>57</v>
      </c>
      <c r="E17" s="28"/>
    </row>
    <row r="18" ht="56.25" customHeight="1">
      <c r="A18" s="34" t="n">
        <v>13</v>
      </c>
      <c r="B18" s="96"/>
      <c r="C18" s="20" t="s">
        <v>58</v>
      </c>
      <c r="D18" s="112" t="s">
        <v>59</v>
      </c>
      <c r="E18" s="28"/>
    </row>
  </sheetData>
  <sheetProtection insertHyperlinks="0" autoFilter="0"/>
  <mergeCells count="3">
    <mergeCell ref="A1:E1"/>
    <mergeCell ref="B6:B18"/>
    <mergeCell ref="B3:B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43"/>
  </cols>
  <sheetData>
    <row r="1" s="43" customFormat="1" ht="51" customHeight="1">
      <c r="A1" s="7" t="s">
        <v>60</v>
      </c>
      <c r="B1" s="8"/>
      <c r="C1" s="8"/>
      <c r="D1" s="44"/>
      <c r="E1" s="8"/>
    </row>
    <row r="2" s="43" customFormat="1" ht="21.899999999999995" customHeight="1">
      <c r="A2" s="21" t="s">
        <v>5</v>
      </c>
      <c r="B2" s="21" t="s">
        <v>22</v>
      </c>
      <c r="C2" s="45" t="s">
        <v>23</v>
      </c>
      <c r="D2" s="21" t="s">
        <v>24</v>
      </c>
      <c r="E2" s="46" t="s">
        <v>25</v>
      </c>
    </row>
    <row r="3" s="43" customFormat="1" ht="35.25" customHeight="1">
      <c r="A3" s="31" t="n">
        <v>1</v>
      </c>
      <c r="B3" s="15" t="s">
        <v>33</v>
      </c>
      <c r="C3" s="77" t="s">
        <v>61</v>
      </c>
      <c r="D3" s="113" t="s">
        <v>62</v>
      </c>
      <c r="E3" s="37"/>
    </row>
    <row r="4" s="43" customFormat="1" ht="35.25" customHeight="1">
      <c r="A4" s="31" t="n">
        <v>2</v>
      </c>
      <c r="B4" s="86"/>
      <c r="C4" s="77" t="s">
        <v>63</v>
      </c>
      <c r="D4" s="81" t="s">
        <v>64</v>
      </c>
      <c r="E4" s="37"/>
    </row>
    <row r="5" ht="35.25" customHeight="1">
      <c r="A5" s="31" t="n">
        <v>3</v>
      </c>
      <c r="B5" s="86"/>
      <c r="C5" s="77" t="s">
        <v>65</v>
      </c>
      <c r="D5" s="114" t="s">
        <v>66</v>
      </c>
      <c r="E5" s="37"/>
    </row>
  </sheetData>
  <sheetProtection insertHyperlinks="0" autoFilter="0"/>
  <mergeCells count="2">
    <mergeCell ref="B3:B5"/>
    <mergeCell ref="A1:E1"/>
  </mergeCells>
  <phoneticPr fontId="1" type="noConversion"/>
  <hyperlinks>
    <hyperlink ref="D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7.5" customWidth="1" style="5"/>
    <col min="4" max="4" width="113.1650390625" customWidth="1" style="6"/>
    <col min="5" max="5" width="38.8330078125" customWidth="1" style="5"/>
  </cols>
  <sheetData>
    <row r="1" ht="45" customHeight="1">
      <c r="A1" s="40" t="s">
        <v>67</v>
      </c>
      <c r="B1" s="41"/>
      <c r="C1" s="41"/>
      <c r="D1" s="41"/>
      <c r="E1" s="41"/>
    </row>
    <row r="2" ht="22.5" customHeight="1">
      <c r="A2" s="11" t="s">
        <v>5</v>
      </c>
      <c r="B2" s="85" t="s">
        <v>22</v>
      </c>
      <c r="C2" s="42" t="s">
        <v>23</v>
      </c>
      <c r="D2" s="42" t="s">
        <v>24</v>
      </c>
      <c r="E2" s="42" t="s">
        <v>25</v>
      </c>
    </row>
    <row r="3" ht="20.25" customHeight="1">
      <c r="A3" s="34" t="n">
        <v>1</v>
      </c>
      <c r="B3" s="94" t="s">
        <v>33</v>
      </c>
      <c r="C3" s="20" t="s">
        <v>68</v>
      </c>
      <c r="D3" s="83" t="s">
        <v>69</v>
      </c>
      <c r="E3" s="28"/>
    </row>
    <row r="4" ht="20.25" customHeight="1">
      <c r="A4" s="34" t="n">
        <v>2</v>
      </c>
      <c r="B4" s="95"/>
      <c r="C4" s="20" t="s">
        <v>70</v>
      </c>
      <c r="D4" s="83" t="s">
        <v>71</v>
      </c>
      <c r="E4" s="28"/>
    </row>
    <row r="5" s="39" customFormat="1" ht="20.25" customHeight="1">
      <c r="A5" s="34" t="n">
        <v>3</v>
      </c>
      <c r="B5" s="95"/>
      <c r="C5" s="20" t="s">
        <v>72</v>
      </c>
      <c r="D5" s="115" t="s">
        <v>73</v>
      </c>
      <c r="E5" s="37"/>
    </row>
    <row r="6" ht="40.5" customHeight="1">
      <c r="A6" s="34" t="n">
        <v>4</v>
      </c>
      <c r="B6" s="95"/>
      <c r="C6" s="20" t="s">
        <v>74</v>
      </c>
      <c r="D6" s="81" t="s">
        <v>75</v>
      </c>
      <c r="E6" s="19"/>
    </row>
    <row r="7" ht="20.25" customHeight="1">
      <c r="A7" s="34" t="n">
        <v>5</v>
      </c>
      <c r="B7" s="95"/>
      <c r="C7" s="20" t="s">
        <v>76</v>
      </c>
      <c r="D7" s="84" t="s">
        <v>77</v>
      </c>
      <c r="E7" s="28"/>
    </row>
    <row r="8" ht="20.25" customHeight="1">
      <c r="A8" s="34" t="n">
        <v>6</v>
      </c>
      <c r="B8" s="95"/>
      <c r="C8" s="20" t="s">
        <v>78</v>
      </c>
      <c r="D8" s="90" t="s">
        <v>79</v>
      </c>
      <c r="E8" s="28"/>
    </row>
    <row r="9" ht="20.25" customHeight="1">
      <c r="A9" s="34" t="n">
        <v>7</v>
      </c>
      <c r="B9" s="95"/>
      <c r="C9" s="20" t="s">
        <v>80</v>
      </c>
      <c r="D9" s="90" t="s">
        <v>81</v>
      </c>
      <c r="E9" s="28"/>
    </row>
    <row r="10" ht="75.75" customHeight="1">
      <c r="A10" s="34" t="n">
        <v>8</v>
      </c>
      <c r="B10" s="95"/>
      <c r="C10" s="20" t="s">
        <v>82</v>
      </c>
      <c r="D10" s="116" t="s">
        <v>83</v>
      </c>
      <c r="E10" s="28"/>
    </row>
    <row r="11" ht="38.25" customHeight="1">
      <c r="A11" s="34" t="n">
        <v>9</v>
      </c>
      <c r="B11" s="95"/>
      <c r="C11" s="20" t="s">
        <v>84</v>
      </c>
      <c r="D11" s="90" t="s">
        <v>85</v>
      </c>
      <c r="E11" s="28"/>
    </row>
    <row r="12" ht="20.25" customHeight="1">
      <c r="A12" s="34" t="n">
        <v>10</v>
      </c>
      <c r="B12" s="95"/>
      <c r="C12" s="20" t="s">
        <v>86</v>
      </c>
      <c r="D12" s="90" t="s">
        <v>87</v>
      </c>
      <c r="E12" s="37"/>
    </row>
    <row r="13" ht="20.25" customHeight="1">
      <c r="A13" s="34" t="n">
        <v>11</v>
      </c>
      <c r="B13" s="95"/>
      <c r="C13" s="20" t="s">
        <v>88</v>
      </c>
      <c r="D13" s="90" t="s">
        <v>89</v>
      </c>
      <c r="E13" s="37"/>
    </row>
    <row r="14" ht="20.25" customHeight="1">
      <c r="A14" s="34" t="n">
        <v>12</v>
      </c>
      <c r="B14" s="95"/>
      <c r="C14" s="20" t="s">
        <v>90</v>
      </c>
      <c r="D14" s="90" t="s">
        <v>91</v>
      </c>
      <c r="E14" s="37"/>
    </row>
    <row r="15" ht="20.25" customHeight="1">
      <c r="A15" s="34" t="n">
        <v>13</v>
      </c>
      <c r="B15" s="95"/>
      <c r="C15" s="20" t="s">
        <v>92</v>
      </c>
      <c r="D15" s="90" t="s">
        <v>93</v>
      </c>
      <c r="E15" s="37"/>
    </row>
    <row r="16" ht="169.5" customHeight="1">
      <c r="A16" s="34" t="n">
        <v>14</v>
      </c>
      <c r="B16" s="95"/>
      <c r="C16" s="20" t="s">
        <v>94</v>
      </c>
      <c r="D16" s="117" t="s">
        <v>95</v>
      </c>
      <c r="E16" s="37"/>
    </row>
    <row r="17" ht="20.25" customHeight="1">
      <c r="A17" s="34" t="n">
        <v>15</v>
      </c>
      <c r="B17" s="95"/>
      <c r="C17" s="20" t="s">
        <v>96</v>
      </c>
      <c r="D17" s="90" t="s">
        <v>97</v>
      </c>
      <c r="E17" s="37"/>
    </row>
    <row r="18" ht="20.25" customHeight="1">
      <c r="A18" s="34" t="n">
        <v>16</v>
      </c>
      <c r="B18" s="95"/>
      <c r="C18" s="20" t="s">
        <v>98</v>
      </c>
      <c r="D18" s="90" t="s">
        <v>99</v>
      </c>
      <c r="E18" s="37"/>
    </row>
    <row r="19" ht="20.25" customHeight="1">
      <c r="A19" s="34" t="n">
        <v>17</v>
      </c>
      <c r="B19" s="96"/>
      <c r="C19" s="20" t="s">
        <v>100</v>
      </c>
      <c r="D19" s="90" t="s">
        <v>101</v>
      </c>
      <c r="E19" s="37"/>
    </row>
  </sheetData>
  <sheetProtection insertHyperlinks="0" autoFilter="0"/>
  <mergeCells count="2">
    <mergeCell ref="A1:E1"/>
    <mergeCell ref="B3:B1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102</v>
      </c>
      <c r="B1" s="8"/>
      <c r="C1" s="8"/>
      <c r="D1" s="9"/>
      <c r="E1" s="8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24.75" customHeight="1">
      <c r="A3" s="31" t="n">
        <v>1</v>
      </c>
      <c r="B3" s="38" t="s">
        <v>33</v>
      </c>
      <c r="C3" s="33" t="s">
        <v>103</v>
      </c>
      <c r="D3" s="90" t="s">
        <v>104</v>
      </c>
      <c r="E3" s="28"/>
    </row>
    <row r="4" ht="24.75" customHeight="1">
      <c r="A4" s="31" t="n">
        <v>2</v>
      </c>
      <c r="B4" s="38"/>
      <c r="C4" s="33" t="s">
        <v>105</v>
      </c>
      <c r="D4" s="90" t="s">
        <v>104</v>
      </c>
      <c r="E4" s="28"/>
    </row>
    <row r="5" ht="20.25" customHeight="1">
      <c r="A5" s="31" t="n">
        <v>3</v>
      </c>
      <c r="B5" s="38"/>
      <c r="C5" s="33" t="s">
        <v>106</v>
      </c>
      <c r="D5" s="90" t="s">
        <v>107</v>
      </c>
      <c r="E5" s="37"/>
    </row>
    <row r="6" ht="20.25" customHeight="1">
      <c r="A6" s="31" t="n">
        <v>4</v>
      </c>
      <c r="B6" s="38"/>
      <c r="C6" s="33" t="s">
        <v>108</v>
      </c>
      <c r="D6" s="90" t="s">
        <v>109</v>
      </c>
      <c r="E6" s="37"/>
    </row>
    <row r="7" ht="20.25" customHeight="1">
      <c r="A7" s="31" t="n">
        <v>5</v>
      </c>
      <c r="B7" s="38"/>
      <c r="C7" s="33" t="s">
        <v>110</v>
      </c>
      <c r="D7" s="90" t="s">
        <v>111</v>
      </c>
      <c r="E7" s="37"/>
    </row>
    <row r="8" ht="20.25" customHeight="1">
      <c r="A8" s="31" t="n">
        <v>6</v>
      </c>
      <c r="B8" s="38"/>
      <c r="C8" s="33" t="s">
        <v>112</v>
      </c>
      <c r="D8" s="90" t="s">
        <v>113</v>
      </c>
      <c r="E8" s="37"/>
    </row>
  </sheetData>
  <sheetProtection insertHyperlinks="0" autoFilter="0"/>
  <mergeCells count="2">
    <mergeCell ref="A1:E1"/>
    <mergeCell ref="B3:B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92" t="s">
        <v>114</v>
      </c>
      <c r="B1" s="93"/>
      <c r="C1" s="93"/>
      <c r="D1" s="44"/>
      <c r="E1" s="93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30" customHeight="1">
      <c r="A3" s="31" t="n">
        <v>1</v>
      </c>
      <c r="B3" s="15" t="s">
        <v>33</v>
      </c>
      <c r="C3" s="17" t="s">
        <v>115</v>
      </c>
      <c r="D3" s="90" t="s">
        <v>116</v>
      </c>
      <c r="E3" s="37"/>
    </row>
    <row r="4" ht="28.5" customHeight="1">
      <c r="A4" s="31" t="n">
        <v>2</v>
      </c>
      <c r="B4" s="86"/>
      <c r="C4" s="17" t="s">
        <v>117</v>
      </c>
      <c r="D4" s="90" t="s">
        <v>116</v>
      </c>
      <c r="E4" s="37"/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68.1640625" customWidth="1" style="6"/>
    <col min="5" max="5" width="67.8310546875" customWidth="1" style="5"/>
  </cols>
  <sheetData>
    <row r="1" ht="51" customHeight="1">
      <c r="A1" s="7" t="s">
        <v>118</v>
      </c>
      <c r="B1" s="8"/>
      <c r="C1" s="8"/>
      <c r="D1" s="9"/>
      <c r="E1" s="8"/>
    </row>
    <row r="2" ht="32.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20.25" customHeight="1">
      <c r="A3" s="31" t="n">
        <v>1</v>
      </c>
      <c r="B3" s="32" t="s">
        <v>26</v>
      </c>
      <c r="C3" s="76" t="s">
        <v>119</v>
      </c>
      <c r="D3" s="118" t="s">
        <v>120</v>
      </c>
      <c r="E3" s="28"/>
    </row>
    <row r="4" ht="20.25" customHeight="1">
      <c r="A4" s="31" t="n">
        <v>2</v>
      </c>
      <c r="B4" s="82"/>
      <c r="C4" s="76" t="s">
        <v>121</v>
      </c>
      <c r="D4" s="98"/>
      <c r="E4" s="28"/>
    </row>
    <row r="5" ht="20.25" customHeight="1">
      <c r="A5" s="31" t="n">
        <v>3</v>
      </c>
      <c r="B5" s="82"/>
      <c r="C5" s="75" t="s">
        <v>122</v>
      </c>
      <c r="D5" s="98"/>
      <c r="E5" s="28"/>
    </row>
    <row r="6" ht="20.25" customHeight="1">
      <c r="A6" s="31" t="n">
        <v>4</v>
      </c>
      <c r="B6" s="82"/>
      <c r="C6" s="75" t="s">
        <v>123</v>
      </c>
      <c r="D6" s="100"/>
      <c r="E6" s="87"/>
    </row>
    <row r="7" ht="19.5" customHeight="1">
      <c r="A7" s="34" t="n">
        <v>1</v>
      </c>
      <c r="B7" s="15" t="s">
        <v>33</v>
      </c>
      <c r="C7" s="88" t="s">
        <v>124</v>
      </c>
      <c r="D7" s="35" t="s">
        <v>125</v>
      </c>
      <c r="E7" s="36"/>
    </row>
    <row r="8" ht="19.5" customHeight="1">
      <c r="A8" s="34" t="n">
        <v>2</v>
      </c>
      <c r="B8" s="86"/>
      <c r="C8" s="101"/>
      <c r="D8" s="35" t="s">
        <v>126</v>
      </c>
      <c r="E8" s="36"/>
    </row>
    <row r="9" ht="19.5" customHeight="1">
      <c r="A9" s="34" t="n">
        <v>3</v>
      </c>
      <c r="B9" s="86"/>
      <c r="C9" s="101"/>
      <c r="D9" s="35" t="s">
        <v>127</v>
      </c>
      <c r="E9" s="36"/>
    </row>
    <row r="10" ht="19.5" customHeight="1">
      <c r="A10" s="34" t="n">
        <v>4</v>
      </c>
      <c r="B10" s="97"/>
      <c r="C10" s="102"/>
      <c r="D10" s="35" t="s">
        <v>128</v>
      </c>
      <c r="E10" s="36"/>
    </row>
    <row r="11" ht="20.25" customHeight="1">
      <c r="A11" s="34" t="n">
        <v>5</v>
      </c>
      <c r="B11" s="97"/>
      <c r="C11" s="33" t="s">
        <v>129</v>
      </c>
      <c r="D11" s="35" t="s">
        <v>130</v>
      </c>
      <c r="E11" s="36"/>
    </row>
    <row r="12" ht="20.25" customHeight="1">
      <c r="A12" s="34" t="n">
        <v>6</v>
      </c>
      <c r="B12" s="86"/>
      <c r="C12" s="103" t="s">
        <v>131</v>
      </c>
      <c r="D12" s="35" t="s">
        <v>132</v>
      </c>
      <c r="E12" s="36"/>
    </row>
    <row r="13" ht="20.25" customHeight="1">
      <c r="A13" s="34" t="n">
        <v>7</v>
      </c>
      <c r="B13" s="97"/>
      <c r="C13" s="33" t="s">
        <v>133</v>
      </c>
      <c r="D13" s="35" t="s">
        <v>134</v>
      </c>
      <c r="E13" s="36"/>
    </row>
    <row r="14" ht="20.25" customHeight="1">
      <c r="A14" s="34" t="n">
        <v>8</v>
      </c>
      <c r="B14" s="97"/>
      <c r="C14" s="33" t="s">
        <v>135</v>
      </c>
      <c r="D14" s="35" t="s">
        <v>136</v>
      </c>
      <c r="E14" s="36"/>
    </row>
  </sheetData>
  <sheetProtection insertHyperlinks="0" autoFilter="0"/>
  <mergeCells count="5">
    <mergeCell ref="A1:E1"/>
    <mergeCell ref="B7:B14"/>
    <mergeCell ref="B3:B6"/>
    <mergeCell ref="D3:D6"/>
    <mergeCell ref="C7:C10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137</v>
      </c>
      <c r="B1" s="8"/>
      <c r="C1" s="8"/>
      <c r="D1" s="9"/>
      <c r="E1" s="8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14.25" customHeight="1">
      <c r="A3" s="31" t="n">
        <v>1</v>
      </c>
      <c r="B3" s="22" t="s">
        <v>26</v>
      </c>
      <c r="C3" s="23"/>
      <c r="D3" s="24"/>
      <c r="E3" s="28"/>
    </row>
    <row r="4" ht="14.25" customHeight="1">
      <c r="A4" s="31" t="n">
        <v>2</v>
      </c>
      <c r="B4" s="25"/>
      <c r="C4" s="23"/>
      <c r="D4" s="24"/>
      <c r="E4" s="29"/>
    </row>
    <row r="5" ht="28.5" customHeight="1">
      <c r="A5" s="31" t="n">
        <v>3</v>
      </c>
      <c r="B5" s="25"/>
      <c r="C5" s="23"/>
      <c r="D5" s="24"/>
      <c r="E5" s="29"/>
    </row>
    <row r="6" ht="14.25" customHeight="1">
      <c r="A6" s="31" t="n">
        <v>1</v>
      </c>
      <c r="B6" s="26" t="s">
        <v>33</v>
      </c>
      <c r="C6" s="23"/>
      <c r="D6" s="24"/>
      <c r="E6" s="29"/>
    </row>
    <row r="7" ht="14.25" customHeight="1">
      <c r="A7" s="31" t="n">
        <v>2</v>
      </c>
      <c r="B7" s="27"/>
      <c r="C7" s="23"/>
      <c r="D7" s="24"/>
      <c r="E7" s="29"/>
    </row>
  </sheetData>
  <sheetProtection insertHyperlinks="0" autoFilter="0"/>
  <mergeCells count="3">
    <mergeCell ref="B6:B7"/>
    <mergeCell ref="B3:B5"/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138</v>
      </c>
      <c r="B1" s="8"/>
      <c r="C1" s="8"/>
      <c r="D1" s="9"/>
      <c r="E1" s="8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36.75" customHeight="1">
      <c r="A3" s="31" t="n">
        <v>1</v>
      </c>
      <c r="B3" s="104" t="s">
        <v>33</v>
      </c>
      <c r="C3" s="33" t="s">
        <v>139</v>
      </c>
      <c r="D3" s="90" t="s">
        <v>140</v>
      </c>
      <c r="E3" s="28"/>
    </row>
    <row r="4" ht="36.75" customHeight="1">
      <c r="A4" s="31" t="n">
        <v>2</v>
      </c>
      <c r="B4" s="96"/>
      <c r="C4" s="33" t="s">
        <v>141</v>
      </c>
      <c r="D4" s="90" t="s">
        <v>142</v>
      </c>
      <c r="E4" s="28"/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143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30" customFormat="1" ht="40.5" customHeight="1" hidden="1">
      <c r="A3" s="10"/>
      <c r="B3" s="12" t="s">
        <v>26</v>
      </c>
      <c r="C3" s="13"/>
      <c r="D3" s="14"/>
      <c r="E3" s="18"/>
    </row>
    <row r="4" ht="21" customHeight="1">
      <c r="A4" s="10" t="n">
        <v>1</v>
      </c>
      <c r="B4" s="15" t="s">
        <v>33</v>
      </c>
      <c r="C4" s="13"/>
      <c r="D4" s="14"/>
      <c r="E4" s="18"/>
    </row>
    <row r="5" ht="25" customHeight="1">
      <c r="A5" s="10" t="n">
        <v>2</v>
      </c>
      <c r="B5" s="15"/>
      <c r="C5" s="13"/>
      <c r="D5" s="14"/>
      <c r="E5" s="18"/>
    </row>
    <row r="6" ht="25" customHeight="1">
      <c r="A6" s="10" t="n">
        <v>3</v>
      </c>
      <c r="B6" s="15"/>
      <c r="C6" s="13"/>
      <c r="D6" s="16"/>
      <c r="E6" s="18"/>
    </row>
    <row r="7" ht="25" customHeight="1" hidden="1">
      <c r="A7" s="10" t="n">
        <v>4</v>
      </c>
      <c r="B7" s="15"/>
      <c r="C7" s="17"/>
      <c r="D7" s="14"/>
      <c r="E7" s="18"/>
    </row>
    <row r="8" ht="25" customHeight="1" hidden="1">
      <c r="A8" s="10" t="n">
        <v>5</v>
      </c>
      <c r="B8" s="15"/>
      <c r="C8" s="13"/>
      <c r="D8" s="14"/>
      <c r="E8" s="18"/>
    </row>
    <row r="9" ht="25" customHeight="1" hidden="1">
      <c r="A9" s="10" t="n">
        <v>6</v>
      </c>
      <c r="B9" s="15"/>
      <c r="C9" s="17"/>
      <c r="D9" s="14"/>
      <c r="E9" s="19"/>
    </row>
    <row r="10" ht="21" customHeight="1" hidden="1">
      <c r="A10" s="10" t="n">
        <v>7</v>
      </c>
      <c r="B10" s="15"/>
      <c r="C10" s="17"/>
      <c r="D10" s="14"/>
      <c r="E10" s="18"/>
    </row>
    <row r="11" ht="21" customHeight="1" hidden="1">
      <c r="A11" s="10" t="n">
        <v>8</v>
      </c>
      <c r="B11" s="15"/>
      <c r="C11" s="17"/>
      <c r="D11" s="14"/>
      <c r="E11" s="18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2025-11-17T19:08:18Z</dcterms:modified>
</cp:coreProperties>
</file>