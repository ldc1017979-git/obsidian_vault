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 state="hidden"/>
    <sheet name="安全板块" sheetId="6" r:id="rId6"/>
    <sheet name="人事行政板块" sheetId="7" r:id="rId7"/>
    <sheet name="财务板块" sheetId="8" r:id="rId8" state="hidden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<sst xmlns="http://schemas.openxmlformats.org/spreadsheetml/2006/main">
  <si>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广东基地-数智工厂3.38.0版本迭代概览</t>
  </si>
  <si>
    <t>本次试用迭代</t>
  </si>
  <si>
    <t>基地试用周期</t>
  </si>
  <si>
    <t>05月25日-06月01日（共8天）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</si>
  <si>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</si>
  <si>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</si>
  <si>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</si>
  <si>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</si>
  <si>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</si>
  <si>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</si>
  <si>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</si>
  <si>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</si>
  <si>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</si>
  <si>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</si>
  <si>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</si>
  <si>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</si>
  <si>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</si>
  <si>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</si>
  <si>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</si>
  <si>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</si>
  <si>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</si>
  <si>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广东基地-仓储板块-2026年05月25日系统更新内容</t>
  </si>
  <si>
    <t>类型</t>
  </si>
  <si>
    <t>单据</t>
  </si>
  <si>
    <t>内容</t>
  </si>
  <si>
    <t>备注</t>
  </si>
  <si>
    <t>优化项</t>
  </si>
  <si>
    <t>货品管理</t>
  </si>
  <si>
    <t>供应链数据对接，针对物料大类原材料和成品，其中“成品”数据已实现接收数据不允许编辑</t>
  </si>
  <si>
    <t>巡检管理-巡检内容</t>
  </si>
  <si>
    <t>菜单路径：仓储管理-库房管理-日常管理-巡检管理
1、新增功能主要实现仓储点位区域点巡检记录，包含基础配置、位置二维码、循环计划相关信息
2、异常时推送到巡检异常，推送到隐患上报</t>
  </si>
  <si>
    <t>巡检管理-巡检点位</t>
  </si>
  <si>
    <t>巡检管理-巡检计划</t>
  </si>
  <si>
    <t>巡检管理-巡检记录</t>
  </si>
  <si>
    <t>供应商附件清单</t>
  </si>
  <si>
    <t>菜单路径：仓储管理-基础信息-供应商附件清单
该数据来源供应商中的附件信息，按明细展示数据</t>
  </si>
  <si>
    <t>叉车-保养计划</t>
  </si>
  <si>
    <t>1、列表筛选优化，增加“唯一码、叉车车牌”下拉搜索选择，单据表头支持排序保存
2、维修记录增加“非库存备件记录”信息填写</t>
  </si>
  <si>
    <t>叉车-保养工单</t>
  </si>
  <si>
    <t>叉车-维修记录</t>
  </si>
  <si>
    <t>电池充电记录表</t>
  </si>
  <si>
    <t>增加列表的导出模板配置</t>
  </si>
  <si>
    <t>叉车电池更换记录</t>
  </si>
  <si>
    <t>蓄电池的更换，增加列表的导出模板配置</t>
  </si>
  <si>
    <t>仓管员交接班记录
</t>
  </si>
  <si>
    <t>新增反审操作</t>
  </si>
  <si>
    <t>货品库存总表</t>
  </si>
  <si>
    <t>列表增加汇总显示筛选库存数量信息，便于筛选后查看总数，字段：库存总数、非限制数、质量检查数、冻结数</t>
  </si>
  <si>
    <t>货品库存明细</t>
  </si>
  <si>
    <t>广东基地-生产板块-2026年05月25日系统更新内容</t>
  </si>
  <si>
    <t>新增功能</t>
  </si>
  <si>
    <t>全链路追溯</t>
  </si>
  <si>
    <t>支持按产品名称、产品类型、大批次号、批次等信息检索信息</t>
  </si>
  <si>
    <t>产品名称
</t>
  </si>
  <si>
    <t>① 名称调整：产品大类调整成“品牌”、产品小类调整成“物料大类”
② 品牌、物料大类调整成下拉选择</t>
  </si>
  <si>
    <t>打码工序</t>
  </si>
  <si>
    <t>“工序记录”处复核人签字时校验该条记录内容完整（样品量、取样时间除外），不完整时toast提示：填写完内容后再复核签字</t>
  </si>
  <si>
    <t>复合香精称量记录</t>
  </si>
  <si>
    <t>支持按审核条件“产品名称”、“车间”配置审批流</t>
  </si>
  <si>
    <t>盛料桶投料</t>
  </si>
  <si>
    <t>① 支持按审核条件“产品名称”、“车间”配置审批流
② 单据驳回或撤回后“车间”支持修改</t>
  </si>
  <si>
    <t>拆包工序、灌装工序、打码工序、热缩工序、包装工序、热缩包装、码垛工序、生产交接班</t>
  </si>
  <si>
    <t>列表字段支持按账号设置</t>
  </si>
  <si>
    <t>配料工序记录</t>
  </si>
  <si>
    <t>签字提交校验项中再增加“放料员签字”的校验</t>
  </si>
  <si>
    <t>广东-质量板块-2026年05月25系统更新内容</t>
  </si>
  <si>
    <t>【原材料/成品/工序/计量标准值配置】</t>
  </si>
  <si>
    <t>优化调整6项
1、增加“状态”字段：枚举值（1-未配置，2-正常使用，3-集团已禁用，4-集团已删除），初始状态=未配置；历史数据需要处理所有配置了标准值的项目刷成“正常使用”，状态不可手动调整；
2、未配置在配置了标准值以后变为“正常使用”，集团已禁用和集团已删除后续对接供应链系统会用到；
3、是否合格类型，去掉下方对于的填写内容，显示内容调整为原型中的；
4、“英文名称”字段去掉；
5、增加“是否判定”字段：为“是”时，正常检验结果校验逻辑；为“否”时，不合格只标红，不影响检验结果的判定；默认“是”
6、增加“标准来源”字段：枚举值（1-自主配置，2-绑定集团），默认“自主配置”；</t>
  </si>
  <si>
    <t>【公司级问题项处理】</t>
  </si>
  <si>
    <t>优化调整2项
1、增加“单据日志”分录；
2、流程主线在是否审批为是时，主线流程图增加一级审批和二级审批的节点</t>
  </si>
  <si>
    <t>【原料异常处置单】</t>
  </si>
  <si>
    <t>处置节点=生产领用时，根据产线进行过滤的逻辑增加条件“原料异常类型=包材的前提下，才需要增加产线过滤”</t>
  </si>
  <si>
    <t>【VB12称重记录】</t>
  </si>
  <si>
    <t>触发新批次留样窗口的逻辑调整，增加“VB12留样数据的校验”</t>
  </si>
  <si>
    <t>【成品发货通知单】</t>
  </si>
  <si>
    <t>提交前，校验待发货清单页面是否存在批号，如果存在则弹窗暂缓发货二次确认窗口；</t>
  </si>
  <si>
    <t>【工序卷封报告】</t>
  </si>
  <si>
    <t>导入模版增加校验：根据导入的序号数*3去校验你模版里面的行数，数量一致时才能导入</t>
  </si>
  <si>
    <t>【打码取样信息表】</t>
  </si>
  <si>
    <t>增加字段“原-取样量、原-取样时间、物料编号”数据来源生产，原-样品量和原-样品时间会有多个值传过来的情况</t>
  </si>
  <si>
    <t>【电子称内校报告】</t>
  </si>
  <si>
    <t>砝码送检单位默认选取“佛山市质量计量监督检测中心”，可以切换</t>
  </si>
  <si>
    <t>【电子天平内校报告】</t>
  </si>
  <si>
    <t>【战马定量VB12原始记录】</t>
  </si>
  <si>
    <t>含量x(g/100ml)自动计算：矫正含量*10，含量X(g/L)即为含量x(g/100ml)保留1位小数就得含量X</t>
  </si>
  <si>
    <t>【成品卷封检验报告】</t>
  </si>
  <si>
    <t>战马类型导入卷封数据时，忽略掉文件中的厚度不用导入系统</t>
  </si>
  <si>
    <t>【工序卷封检验报告】</t>
  </si>
  <si>
    <t>【广东-香精入厂检验报告】</t>
  </si>
  <si>
    <t>增加“留样编码”字段，文本框，并再自定义报告增加对应字段，</t>
  </si>
  <si>
    <t>【广东-定期CIP检测项目】</t>
  </si>
  <si>
    <t>1、CIP项目=柠檬酸时，pH值检测调整为：柠檬酸溶液（标准值），柠檬酸溶液循环结束后(标准值)，6吨热水冲洗后(标准值)/9吨热水冲洗后（标准值），需要增加标准值配置
2、自定义模版字段也增加相关内容
3、历史数据处理：全部选取6吨热水冲洗后，检测值也写入该项目下；</t>
  </si>
  <si>
    <t>【广东-开机确认单】</t>
  </si>
  <si>
    <t>【样品卷封调机单】</t>
  </si>
  <si>
    <t>优化调整3项
1、卷封轮和调机时长字段调换位置；
2、卷封轮：下拉枚举值去掉“跟踪15min，跟踪30min，跟踪60min”；
3、调机时长 改名为 “跟踪时长”，下拉选取“调机后，跟踪15min，跟踪30min，跟踪60min”，方便客户填写，存文本即可，不要影响历史数据的显示，自定义模版中的名称也要改</t>
  </si>
  <si>
    <t>【工序卷封调机单】</t>
  </si>
  <si>
    <t>【工序控制报告】</t>
  </si>
  <si>
    <t>优化调整2项：
1、拆包-空罐质量≥20罐调整为所有基地都显示’
2、制水车间的“水温”和“环境湿度”导出的报告没有带出组别的信息</t>
  </si>
  <si>
    <t>【周排查计划】</t>
  </si>
  <si>
    <t>选取排查周期的时候可是选取之前的日期</t>
  </si>
  <si>
    <t>【成分检测结果比对报告】</t>
  </si>
  <si>
    <t>已达成统一，所有基地计算的偏差都保留绝对值</t>
  </si>
  <si>
    <t>广东基地-设备板块-2026年05月25日系统更新内容</t>
  </si>
  <si>
    <t>广东基地-安全板块-2026年05月25日系统更新内容</t>
  </si>
  <si>
    <t>安全协议签署记录</t>
  </si>
  <si>
    <t>1、列表增加按钮“预警推送设置”，可自定义配置提前N天推送，将消息推送给部门负责人和创建人。功能替代原推临期30天固定周期推送。
2、按钮权限优化，编辑和删除按钮有权限人员则可操作（原过期后无法操作）</t>
  </si>
  <si>
    <t>消防-点巡检记录</t>
  </si>
  <si>
    <t>优化详情页显示“审批流程”</t>
  </si>
  <si>
    <t>点检异常记录</t>
  </si>
  <si>
    <t>列表字段“关联整改单号”增加跳转链接</t>
  </si>
  <si>
    <t>隐患上报</t>
  </si>
  <si>
    <t>生产劳保佩戴安全检查</t>
  </si>
  <si>
    <t>1、异常时，增加整改前、整改后照片上传
2、增加外部人员信息填写</t>
  </si>
  <si>
    <t>员工体检计划</t>
  </si>
  <si>
    <t>1、编辑计划时，增加导入数据，用于添加计划后，按模板导出员工，再批量导入体检结果信息
2、增加“实际体检项目”，解决职业体检时默认多个体检项目，实际只体检部分项目问题</t>
  </si>
  <si>
    <t>员工体检记录与结果</t>
  </si>
  <si>
    <t>优化单据流程，列表新增字段员工“签字确认”
1、单据审批完成后，状态“待签字”，对应消息通知给员工签字确认消息通知
2、对应员工签字确认后，状态变为已签字，显示为签字图片</t>
  </si>
  <si>
    <t>广东基地-人事行政板块-2026年05月25日系统更新内容</t>
  </si>
  <si>
    <t>会议纪要</t>
  </si>
  <si>
    <t>列表表头优化支持排序保存</t>
  </si>
  <si>
    <t>查询条件新增已读状态和列表中显示已阅人数</t>
  </si>
  <si>
    <t>支持在小程序上审批</t>
  </si>
  <si>
    <t>小程序需在5月28日更新到正式环境上使用</t>
  </si>
  <si>
    <t>招聘管理</t>
  </si>
  <si>
    <t>小程序支持查询列表/详情/审批操作</t>
  </si>
  <si>
    <t>标准工时绩效表</t>
  </si>
  <si>
    <t>列表新增考核级别字段</t>
  </si>
  <si>
    <t>标准工时个人绩效表</t>
  </si>
  <si>
    <t>员工级文案优化</t>
  </si>
  <si>
    <t>主管级新增改善建议文案</t>
  </si>
  <si>
    <t>复评支持填写改善建议信息</t>
  </si>
  <si>
    <t>显示评分标准信息</t>
  </si>
  <si>
    <t>广东基地-财务板块-2026年05月25日系统更新内容</t>
  </si>
  <si>
    <t>广东基地-基础板块-2026年05月25日系统更新内容</t>
  </si>
  <si>
    <t>（系统右上角）消息铃铛</t>
  </si>
  <si>
    <r>
      <rPr>
        <color rgb="FF000000"/>
        <rFont val="微软雅黑"/>
        <sz val="14"/>
      </rPr>
      <t xml:space="preserve">优化消息铃铛与待办消息通知数量混乱及重复问题，系统重新定义消息类型，分为【我的待办】【抄送我的】【与我相关】，具体功能说明查看链接</t>
    </r>
    <r>
      <rPr>
        <color theme="10"/>
        <rFont val="微软雅黑"/>
        <u/>
        <sz val="14"/>
      </rPr>
      <t xml:space="preserve">https://www.yuque.com/dylan-fyjxa/wids5v/itag8248s7nfwb67?singleDoc#</t>
    </r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</si>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</sst>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等线"/>
    </font>
    <font>
      <sz val="10"/>
      <color rgb="FF000000"/>
      <name val="等线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4"/>
      <color rgb="FFFF0000"/>
      <name val="微软雅黑"/>
    </font>
    <font>
      <sz val="14"/>
      <color rgb="FFFE0300"/>
      <name val="微软雅黑"/>
    </font>
    <font>
      <sz val="14"/>
      <color rgb="FF000000"/>
      <name val="default"/>
    </font>
    <font>
      <u/>
      <sz val="8"/>
      <color rgb="FF0026E5"/>
      <name val="宋体"/>
    </font>
    <font>
      <sz val="10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b/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9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2D529F"/>
      </patternFill>
    </fill>
    <fill>
      <patternFill patternType="solid">
        <fgColor rgb="FFD9E1F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3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10" fillId="0" borderId="4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5" xfId="0" applyFont="1" applyFill="1" applyBorder="1" applyProtection="1">
      <alignment horizontal="center" vertical="center"/>
    </xf>
    <xf numFmtId="0" fontId="4" fillId="0" borderId="0" xfId="0" applyFont="1">
      <alignment horizontal="general" vertical="center"/>
    </xf>
    <xf numFmtId="0" fontId="7" fillId="0" borderId="1" xfId="0" applyFont="1" applyBorder="1" applyProtection="1">
      <alignment horizontal="center" vertical="center"/>
    </xf>
    <xf numFmtId="0" fontId="13" fillId="0" borderId="0" xfId="0" applyFont="1">
      <alignment horizontal="general" vertical="center"/>
    </xf>
    <xf numFmtId="0" fontId="14" fillId="0" borderId="0" xfId="0" applyFont="1">
      <alignment horizontal="general" vertical="center"/>
    </xf>
    <xf numFmtId="0" fontId="7" fillId="0" borderId="6" xfId="0" applyFont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 wrapText="1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15" fillId="6" borderId="9" xfId="0" applyFont="1" applyFill="1" applyBorder="1" applyProtection="1">
      <alignment horizontal="center" vertical="center" wrapText="1"/>
    </xf>
    <xf numFmtId="0" fontId="15" fillId="6" borderId="1" xfId="0" applyFont="1" applyFill="1" applyBorder="1" applyProtection="1">
      <alignment horizontal="center" vertical="center" wrapText="1"/>
    </xf>
    <xf numFmtId="164" fontId="16" fillId="6" borderId="1" xfId="0" applyNumberFormat="1" applyFont="1" applyFill="1" applyBorder="1" applyProtection="1">
      <alignment horizontal="left" vertical="center"/>
    </xf>
    <xf numFmtId="0" fontId="17" fillId="0" borderId="1" xfId="0" applyFont="1" applyBorder="1" applyProtection="1">
      <alignment horizontal="left" vertical="center"/>
    </xf>
    <xf numFmtId="0" fontId="18" fillId="6" borderId="1" xfId="0" applyFont="1" applyFill="1" applyBorder="1" applyProtection="1">
      <alignment horizontal="left" vertical="center" wrapText="1"/>
    </xf>
    <xf numFmtId="164" fontId="19" fillId="6" borderId="1" xfId="0" applyNumberFormat="1" applyFont="1" applyFill="1" applyBorder="1" applyProtection="1">
      <alignment horizontal="left" vertical="center"/>
    </xf>
    <xf numFmtId="0" fontId="20" fillId="0" borderId="1" xfId="0" applyFont="1" applyBorder="1" applyProtection="1">
      <alignment horizontal="left" vertical="center"/>
    </xf>
    <xf numFmtId="0" fontId="15" fillId="3" borderId="9" xfId="0" applyFont="1" applyFill="1" applyBorder="1" applyProtection="1">
      <alignment horizontal="center" vertical="center" wrapText="1"/>
    </xf>
    <xf numFmtId="0" fontId="15" fillId="3" borderId="1" xfId="0" applyFont="1" applyFill="1" applyBorder="1" applyProtection="1">
      <alignment horizontal="center" vertical="center" wrapText="1"/>
    </xf>
    <xf numFmtId="0" fontId="21" fillId="6" borderId="9" xfId="0" applyFont="1" applyFill="1" applyBorder="1" applyProtection="1">
      <alignment horizontal="center" vertical="center" wrapText="1"/>
    </xf>
    <xf numFmtId="0" fontId="22" fillId="6" borderId="1" xfId="0" applyFont="1" applyFill="1" applyBorder="1" applyProtection="1">
      <alignment horizontal="center" vertical="center" wrapText="1"/>
    </xf>
    <xf numFmtId="0" fontId="23" fillId="0" borderId="10" xfId="0" applyFont="1" applyBorder="1" applyProtection="1">
      <alignment horizontal="left" vertical="center"/>
    </xf>
    <xf numFmtId="0" fontId="23" fillId="0" borderId="11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4" fillId="0" borderId="11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6" fillId="2" borderId="13" xfId="0" applyFont="1" applyFill="1" applyBorder="1" applyProtection="1">
      <alignment horizontal="center" vertical="center" wrapText="1"/>
    </xf>
    <xf numFmtId="0" fontId="17" fillId="0" borderId="14" xfId="0" applyFont="1" applyBorder="1" applyProtection="1">
      <alignment horizontal="left" vertical="center"/>
    </xf>
    <xf numFmtId="0" fontId="18" fillId="6" borderId="14" xfId="0" applyFont="1" applyFill="1" applyBorder="1" applyProtection="1">
      <alignment horizontal="left" vertical="center" wrapText="1"/>
    </xf>
    <xf numFmtId="0" fontId="20" fillId="0" borderId="14" xfId="0" applyFont="1" applyBorder="1" applyProtection="1">
      <alignment horizontal="left" vertical="center"/>
    </xf>
    <xf numFmtId="0" fontId="15" fillId="3" borderId="14" xfId="0" applyFont="1" applyFill="1" applyBorder="1" applyProtection="1">
      <alignment horizontal="center" vertical="center" wrapText="1"/>
    </xf>
    <xf numFmtId="0" fontId="23" fillId="0" borderId="15" xfId="0" applyFont="1" applyBorder="1" applyProtection="1">
      <alignment horizontal="left" vertical="center"/>
    </xf>
    <xf numFmtId="0" fontId="24" fillId="0" borderId="15" xfId="0" applyFont="1" applyBorder="1" applyProtection="1">
      <alignment horizontal="left" vertical="center"/>
    </xf>
    <xf numFmtId="0" fontId="25" fillId="0" borderId="16" xfId="0" applyFont="1" applyBorder="1" applyProtection="1">
      <alignment horizontal="left" vertical="center"/>
    </xf>
    <xf numFmtId="0" fontId="26" fillId="6" borderId="1" xfId="0" applyFont="1" applyFill="1" applyBorder="1" applyProtection="1">
      <alignment horizontal="center" vertical="center" wrapText="1"/>
    </xf>
    <xf numFmtId="0" fontId="27" fillId="6" borderId="1" xfId="0" applyFont="1" applyFill="1" applyBorder="1" applyProtection="1">
      <alignment horizontal="center" vertical="center" wrapText="1"/>
    </xf>
    <xf numFmtId="0" fontId="28" fillId="6" borderId="14" xfId="0" applyFont="1" applyFill="1" applyBorder="1" applyProtection="1">
      <alignment horizontal="center" vertical="center" wrapText="1"/>
    </xf>
    <xf numFmtId="0" fontId="8" fillId="3" borderId="17" xfId="0" applyFont="1" applyFill="1" applyBorder="1" applyProtection="1">
      <alignment horizontal="center" vertical="center"/>
    </xf>
    <xf numFmtId="0" fontId="5" fillId="2" borderId="5" xfId="0" applyFont="1" applyFill="1" applyBorder="1" applyProtection="1">
      <alignment horizontal="center" vertical="center" wrapText="1"/>
    </xf>
    <xf numFmtId="0" fontId="6" fillId="2" borderId="5" xfId="0" applyFont="1" applyFill="1" applyBorder="1" applyProtection="1">
      <alignment horizontal="center" vertical="center"/>
    </xf>
    <xf numFmtId="0" fontId="6" fillId="2" borderId="5" xfId="0" applyFont="1" applyFill="1" applyBorder="1" applyProtection="1">
      <alignment horizontal="left" vertical="center"/>
    </xf>
    <xf numFmtId="0" fontId="12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9" fillId="4" borderId="5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left" vertical="center"/>
    </xf>
    <xf numFmtId="0" fontId="10" fillId="0" borderId="4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general" vertical="center"/>
    </xf>
    <xf numFmtId="0" fontId="9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7" fillId="0" borderId="1" xfId="0" applyFont="1" applyBorder="1" applyProtection="1">
      <alignment horizontal="center" vertical="center" wrapText="1"/>
    </xf>
    <xf numFmtId="0" fontId="9" fillId="4" borderId="1" xfId="0" applyFont="1" applyFill="1" applyBorder="1" applyProtection="1">
      <alignment horizontal="center" vertical="center" wrapText="1"/>
    </xf>
    <xf numFmtId="0" fontId="11" fillId="0" borderId="18" xfId="0" applyFont="1" applyBorder="1" applyProtection="1">
      <alignment horizontal="left" vertical="center" wrapText="1"/>
    </xf>
    <xf numFmtId="0" fontId="11" fillId="0" borderId="19" xfId="0" applyFont="1" applyBorder="1" applyProtection="1">
      <alignment horizontal="left" vertical="center"/>
    </xf>
    <xf numFmtId="0" fontId="11" fillId="0" borderId="4" xfId="0" applyFont="1" applyBorder="1" applyProtection="1">
      <alignment horizontal="left" vertical="center"/>
    </xf>
    <xf numFmtId="0" fontId="29" fillId="0" borderId="4" xfId="0" applyFont="1" applyBorder="1" applyProtection="1">
      <alignment horizontal="left" vertical="center"/>
    </xf>
    <xf numFmtId="0" fontId="11" fillId="0" borderId="18" xfId="0" applyFont="1" applyBorder="1" applyProtection="1">
      <alignment horizontal="left" vertical="center"/>
    </xf>
    <xf numFmtId="0" fontId="11" fillId="0" borderId="11" xfId="0" applyFont="1" applyBorder="1" applyProtection="1">
      <alignment horizontal="left" vertical="center" wrapText="1"/>
    </xf>
    <xf numFmtId="0" fontId="30" fillId="0" borderId="1" xfId="0" applyFont="1" applyBorder="1" applyProtection="1">
      <alignment horizontal="left" vertical="center"/>
    </xf>
    <xf numFmtId="0" fontId="9" fillId="5" borderId="6" xfId="0" applyFont="1" applyFill="1" applyBorder="1" applyProtection="1">
      <alignment horizontal="center" vertical="center"/>
    </xf>
    <xf numFmtId="0" fontId="13" fillId="0" borderId="6" xfId="0" applyFont="1" applyBorder="1" applyProtection="1">
      <alignment horizontal="general" vertical="center"/>
    </xf>
    <xf numFmtId="0" fontId="10" fillId="0" borderId="1" xfId="0" applyFont="1" applyBorder="1" applyProtection="1">
      <alignment horizontal="center" vertical="center"/>
    </xf>
    <xf numFmtId="0" fontId="8" fillId="3" borderId="6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center" vertical="center"/>
    </xf>
    <xf numFmtId="0" fontId="5" fillId="7" borderId="5" xfId="0" applyFont="1" applyFill="1" applyBorder="1" applyProtection="1">
      <alignment horizontal="center" vertical="center" wrapText="1"/>
    </xf>
    <xf numFmtId="0" fontId="8" fillId="8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31" fillId="0" borderId="1" xfId="0" applyFont="1" applyBorder="1" applyProtection="1">
      <alignment horizontal="left" vertical="center" wrapText="1"/>
    </xf>
    <xf numFmtId="0" fontId="9" fillId="5" borderId="5" xfId="0" applyFont="1" applyFill="1" applyBorder="1" applyProtection="1">
      <alignment horizontal="center" vertical="center"/>
    </xf>
    <xf numFmtId="0" fontId="13" fillId="0" borderId="1" xfId="0" applyFont="1" applyBorder="1" applyProtection="1">
      <alignment horizontal="general" vertical="center"/>
    </xf>
    <xf numFmtId="0" fontId="11" fillId="0" borderId="1" xfId="0" applyFont="1" applyBorder="1" applyProtection="1">
      <alignment horizontal="left" vertical="center" wrapText="1"/>
    </xf>
    <xf numFmtId="0" fontId="9" fillId="0" borderId="1" xfId="0" applyFont="1" applyBorder="1" applyProtection="1">
      <alignment horizontal="center" vertical="center" wrapText="1"/>
    </xf>
    <xf numFmtId="0" fontId="32" fillId="0" borderId="20" xfId="0" applyFont="1" applyBorder="1" applyProtection="1">
      <alignment horizontal="left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left" vertical="center" wrapText="1"/>
    </xf>
    <xf numFmtId="0" fontId="10" fillId="0" borderId="2" xfId="0" applyFont="1" applyBorder="1" applyProtection="1">
      <alignment horizontal="center" vertical="center"/>
    </xf>
    <xf numFmtId="0" fontId="33" fillId="0" borderId="1" xfId="0" applyFont="1" applyBorder="1" applyProtection="1">
      <alignment vertical="center"/>
    </xf>
    <xf numFmtId="0" fontId="33" fillId="0" borderId="2" xfId="0" applyFont="1" applyBorder="1" applyProtection="1">
      <alignment vertical="center"/>
    </xf>
    <xf numFmtId="0" fontId="33" fillId="0" borderId="3" xfId="0" applyFont="1" applyBorder="1" applyProtection="1">
      <alignment vertical="center"/>
    </xf>
    <xf numFmtId="0" fontId="34" fillId="0" borderId="20" xfId="0" applyFont="1" applyBorder="1" applyProtection="1">
      <alignment horizontal="left" vertical="center"/>
    </xf>
    <xf numFmtId="0" fontId="35" fillId="0" borderId="1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center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3.png"/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1323975</xdr:colOff>
      <xdr:row>4</xdr:row>
      <xdr:rowOff>0</xdr:rowOff>
    </xdr:from>
    <xdr:ext cx="971550" cy="5334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1238250</xdr:colOff>
      <xdr:row>6</xdr:row>
      <xdr:rowOff>0</xdr:rowOff>
    </xdr:from>
    <xdr:ext cx="1133475" cy="482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4</xdr:col>
      <xdr:colOff>485775</xdr:colOff>
      <xdr:row>7</xdr:row>
      <xdr:rowOff>0</xdr:rowOff>
    </xdr:from>
    <xdr:ext cx="2638425" cy="7239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hyperlink" Target="https://www.yuque.com/dylan-fyjxa/wids5v/itag8248s7nfwb67?singleDoc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26"/>
    <col min="4" max="4" width="11.666015625" customWidth="1" style="26"/>
    <col min="5" max="5" width="12.6650390625" customWidth="1" style="26"/>
  </cols>
  <sheetData>
    <row r="1" ht="24.75" customHeight="1">
      <c r="A1" s="34" t="s">
        <v>0</v>
      </c>
      <c r="B1" s="35"/>
      <c r="C1" s="35"/>
      <c r="D1" s="35"/>
      <c r="E1" s="52"/>
    </row>
    <row r="2" ht="18" customHeight="1">
      <c r="A2" s="36" t="s">
        <v>1</v>
      </c>
      <c r="B2" s="37"/>
      <c r="C2" s="38" t="n">
        <v>46167</v>
      </c>
      <c r="D2" s="39"/>
      <c r="E2" s="53"/>
    </row>
    <row r="3" ht="18" customHeight="1">
      <c r="A3" s="36" t="s">
        <v>2</v>
      </c>
      <c r="B3" s="37"/>
      <c r="C3" s="40" t="s">
        <v>3</v>
      </c>
      <c r="D3" s="40"/>
      <c r="E3" s="54"/>
    </row>
    <row r="4" ht="18" customHeight="1">
      <c r="A4" s="36" t="s">
        <v>4</v>
      </c>
      <c r="B4" s="37"/>
      <c r="C4" s="41" t="n">
        <v>46181</v>
      </c>
      <c r="D4" s="42"/>
      <c r="E4" s="55"/>
    </row>
    <row r="5" ht="16.5" customHeight="1">
      <c r="A5" s="43" t="s">
        <v>5</v>
      </c>
      <c r="B5" s="44" t="s">
        <v>6</v>
      </c>
      <c r="C5" s="44" t="s">
        <v>7</v>
      </c>
      <c r="D5" s="44" t="s">
        <v>8</v>
      </c>
      <c r="E5" s="56" t="s">
        <v>9</v>
      </c>
    </row>
    <row r="6" ht="13.5" customHeight="1">
      <c r="A6" s="45" t="n">
        <v>1</v>
      </c>
      <c r="B6" s="46" t="s">
        <v>10</v>
      </c>
      <c r="C6" s="60" t="n">
        <v>0</v>
      </c>
      <c r="D6" s="61" t="n">
        <v>14</v>
      </c>
      <c r="E6" s="62" t="n">
        <f>C6+D6</f>
        <v>14</v>
      </c>
    </row>
    <row r="7" ht="13.5" customHeight="1">
      <c r="A7" s="45" t="n">
        <v>2</v>
      </c>
      <c r="B7" s="46" t="s">
        <v>11</v>
      </c>
      <c r="C7" s="60" t="n">
        <v>1</v>
      </c>
      <c r="D7" s="61" t="n">
        <v>6</v>
      </c>
      <c r="E7" s="62" t="n">
        <f>C7+D7</f>
        <v>7</v>
      </c>
    </row>
    <row r="8" ht="13.5" customHeight="1">
      <c r="A8" s="45" t="n">
        <v>3</v>
      </c>
      <c r="B8" s="46" t="s">
        <v>12</v>
      </c>
      <c r="C8" s="60" t="n">
        <v>0</v>
      </c>
      <c r="D8" s="61" t="n">
        <v>20</v>
      </c>
      <c r="E8" s="62" t="n">
        <f>C8+D8</f>
        <v>0</v>
      </c>
    </row>
    <row r="9" ht="13.5" customHeight="1">
      <c r="A9" s="45" t="n">
        <v>4</v>
      </c>
      <c r="B9" s="46" t="s">
        <v>13</v>
      </c>
      <c r="C9" s="60" t="n">
        <v>0</v>
      </c>
      <c r="D9" s="61" t="n">
        <v>0</v>
      </c>
      <c r="E9" s="62" t="n">
        <f>C9+D9</f>
        <v>0</v>
      </c>
    </row>
    <row r="10" ht="13.5" customHeight="1">
      <c r="A10" s="45" t="n">
        <v>5</v>
      </c>
      <c r="B10" s="46" t="s">
        <v>14</v>
      </c>
      <c r="C10" s="60" t="n">
        <v>0</v>
      </c>
      <c r="D10" s="61" t="n">
        <v>7</v>
      </c>
      <c r="E10" s="62" t="n">
        <f>C10+D10</f>
        <v>7</v>
      </c>
    </row>
    <row r="11" ht="13.5" customHeight="1">
      <c r="A11" s="45" t="n">
        <v>6</v>
      </c>
      <c r="B11" s="46" t="s">
        <v>15</v>
      </c>
      <c r="C11" s="60" t="n">
        <v>0</v>
      </c>
      <c r="D11" s="61" t="n">
        <v>9</v>
      </c>
      <c r="E11" s="62" t="n">
        <f>C11+D11</f>
        <v>9</v>
      </c>
    </row>
    <row r="12" ht="13.5" customHeight="1">
      <c r="A12" s="45" t="n">
        <v>7</v>
      </c>
      <c r="B12" s="46" t="s">
        <v>16</v>
      </c>
      <c r="C12" s="60" t="n">
        <v>0</v>
      </c>
      <c r="D12" s="61" t="n">
        <v>0</v>
      </c>
      <c r="E12" s="62" t="n">
        <f>C12+D12</f>
        <v>0</v>
      </c>
    </row>
    <row r="13" ht="13.5" customHeight="1">
      <c r="A13" s="45" t="n">
        <v>8</v>
      </c>
      <c r="B13" s="46" t="s">
        <v>17</v>
      </c>
      <c r="C13" s="60" t="n">
        <v>0</v>
      </c>
      <c r="D13" s="61" t="n">
        <v>1</v>
      </c>
      <c r="E13" s="62" t="n">
        <f>C13+D13</f>
        <v>1</v>
      </c>
    </row>
    <row r="14" ht="13.5" customHeight="1">
      <c r="A14" s="45" t="n">
        <v>9</v>
      </c>
      <c r="B14" s="46" t="s">
        <v>9</v>
      </c>
      <c r="C14" s="60" t="n">
        <f>C7+C6+C8+C9+C11+C10+C12+C13</f>
        <v>1</v>
      </c>
      <c r="D14" s="61" t="n">
        <f>D6+D7+D8+D9+D10+D11+D12+D13</f>
        <v>37</v>
      </c>
      <c r="E14" s="62" t="n">
        <f>C14+D14</f>
        <v>38</v>
      </c>
    </row>
    <row r="15" ht="13.5" customHeight="1">
      <c r="A15" s="47" t="s">
        <v>18</v>
      </c>
      <c r="B15" s="48"/>
      <c r="C15" s="48"/>
      <c r="D15" s="48"/>
      <c r="E15" s="57"/>
    </row>
    <row r="16" ht="13.5" customHeight="1">
      <c r="A16" s="49" t="s">
        <v>19</v>
      </c>
      <c r="B16" s="50"/>
      <c r="C16" s="50"/>
      <c r="D16" s="50"/>
      <c r="E16" s="58"/>
    </row>
    <row r="17" ht="13.5" customHeight="1">
      <c r="A17" s="114" t="s">
        <v>20</v>
      </c>
      <c r="B17" s="51"/>
      <c r="C17" s="51"/>
      <c r="D17" s="51"/>
      <c r="E17" s="59"/>
    </row>
  </sheetData>
  <sheetProtection insertHyperlinks="0" autoFilter="0"/>
  <mergeCells count="10">
    <mergeCell ref="A3:B3"/>
    <mergeCell ref="A16:E16"/>
    <mergeCell ref="A4:B4"/>
    <mergeCell ref="A17:E17"/>
    <mergeCell ref="C2:E2"/>
    <mergeCell ref="A1:E1"/>
    <mergeCell ref="A2:B2"/>
    <mergeCell ref="C3:E3"/>
    <mergeCell ref="C4:E4"/>
    <mergeCell ref="A15:E15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64" t="s">
        <v>21</v>
      </c>
      <c r="B1" s="65"/>
      <c r="C1" s="65"/>
      <c r="D1" s="66"/>
      <c r="E1" s="65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0.25" customHeight="1">
      <c r="A3" s="27" t="n">
        <v>1</v>
      </c>
      <c r="B3" s="15" t="s">
        <v>26</v>
      </c>
      <c r="C3" s="86" t="s">
        <v>27</v>
      </c>
      <c r="D3" s="109" t="s">
        <v>28</v>
      </c>
      <c r="E3" s="31"/>
    </row>
    <row r="4" ht="20.25" customHeight="1">
      <c r="A4" s="27" t="n">
        <v>2</v>
      </c>
      <c r="B4" s="111"/>
      <c r="C4" s="86" t="s">
        <v>29</v>
      </c>
      <c r="D4" s="115" t="s">
        <v>30</v>
      </c>
      <c r="E4" s="31"/>
    </row>
    <row r="5" ht="20.25" customHeight="1">
      <c r="A5" s="27" t="n">
        <v>3</v>
      </c>
      <c r="B5" s="111"/>
      <c r="C5" s="86" t="s">
        <v>31</v>
      </c>
      <c r="D5" s="111"/>
      <c r="E5" s="31"/>
    </row>
    <row r="6" ht="20.25" customHeight="1">
      <c r="A6" s="27" t="n">
        <v>4</v>
      </c>
      <c r="B6" s="111"/>
      <c r="C6" s="86" t="s">
        <v>32</v>
      </c>
      <c r="D6" s="111"/>
      <c r="E6" s="31"/>
    </row>
    <row r="7" ht="20.25" customHeight="1">
      <c r="A7" s="27" t="n">
        <v>5</v>
      </c>
      <c r="B7" s="111"/>
      <c r="C7" s="86" t="s">
        <v>33</v>
      </c>
      <c r="D7" s="111"/>
      <c r="E7" s="31"/>
    </row>
    <row r="8" ht="38.25" customHeight="1">
      <c r="A8" s="27" t="n">
        <v>6</v>
      </c>
      <c r="B8" s="111"/>
      <c r="C8" s="86" t="s">
        <v>34</v>
      </c>
      <c r="D8" s="116" t="s">
        <v>35</v>
      </c>
      <c r="E8" s="31"/>
    </row>
    <row r="9" ht="20.25" customHeight="1">
      <c r="A9" s="27" t="n">
        <v>7</v>
      </c>
      <c r="B9" s="111"/>
      <c r="C9" s="86" t="s">
        <v>36</v>
      </c>
      <c r="D9" s="117" t="s">
        <v>37</v>
      </c>
      <c r="E9" s="31"/>
    </row>
    <row r="10" ht="20.25" customHeight="1">
      <c r="A10" s="27" t="n">
        <v>8</v>
      </c>
      <c r="B10" s="111"/>
      <c r="C10" s="86" t="s">
        <v>38</v>
      </c>
      <c r="D10" s="111"/>
      <c r="E10" s="31"/>
    </row>
    <row r="11" ht="20.25" customHeight="1">
      <c r="A11" s="27" t="n">
        <v>9</v>
      </c>
      <c r="B11" s="111"/>
      <c r="C11" s="86" t="s">
        <v>39</v>
      </c>
      <c r="D11" s="111"/>
      <c r="E11" s="31"/>
    </row>
    <row r="12" ht="20.25" customHeight="1">
      <c r="A12" s="27" t="n">
        <v>10</v>
      </c>
      <c r="B12" s="111"/>
      <c r="C12" s="86" t="s">
        <v>40</v>
      </c>
      <c r="D12" s="109" t="s">
        <v>41</v>
      </c>
      <c r="E12" s="31"/>
    </row>
    <row r="13" ht="20.25" customHeight="1">
      <c r="A13" s="27" t="n">
        <v>11</v>
      </c>
      <c r="B13" s="111"/>
      <c r="C13" s="86" t="s">
        <v>42</v>
      </c>
      <c r="D13" s="109" t="s">
        <v>43</v>
      </c>
      <c r="E13" s="31"/>
    </row>
    <row r="14" ht="28.5" customHeight="1">
      <c r="A14" s="27" t="n">
        <v>12</v>
      </c>
      <c r="B14" s="111"/>
      <c r="C14" s="118" t="s">
        <v>44</v>
      </c>
      <c r="D14" s="109" t="s">
        <v>45</v>
      </c>
      <c r="E14" s="31"/>
    </row>
    <row r="15" ht="20.25" customHeight="1">
      <c r="A15" s="27" t="n">
        <v>13</v>
      </c>
      <c r="B15" s="111"/>
      <c r="C15" s="86" t="s">
        <v>46</v>
      </c>
      <c r="D15" s="109" t="s">
        <v>47</v>
      </c>
      <c r="E15" s="31"/>
    </row>
    <row r="16" ht="20.25" customHeight="1">
      <c r="A16" s="27" t="n">
        <v>14</v>
      </c>
      <c r="B16" s="111"/>
      <c r="C16" s="86" t="s">
        <v>48</v>
      </c>
      <c r="D16" s="111"/>
      <c r="E16" s="31"/>
    </row>
  </sheetData>
  <sheetProtection insertHyperlinks="0" autoFilter="0"/>
  <mergeCells count="5">
    <mergeCell ref="A1:E1"/>
    <mergeCell ref="D4:D7"/>
    <mergeCell ref="D9:D11"/>
    <mergeCell ref="D15:D16"/>
    <mergeCell ref="B3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6"/>
    <col min="4" max="4" width="144.9990234375" customWidth="1" style="6"/>
    <col min="5" max="5" width="47.4990234375" customWidth="1" style="5"/>
    <col min="6" max="40" width="10.998046875" style="29"/>
  </cols>
  <sheetData>
    <row r="1" s="29" customFormat="1" ht="51" customHeight="1">
      <c r="A1" s="64" t="s">
        <v>49</v>
      </c>
      <c r="B1" s="65"/>
      <c r="C1" s="66"/>
      <c r="D1" s="66"/>
      <c r="E1" s="65"/>
    </row>
    <row r="2" s="29" customFormat="1" ht="23.39999999999999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s="26" customFormat="1" ht="34.5" customHeight="1">
      <c r="A3" s="27" t="n">
        <v>1</v>
      </c>
      <c r="B3" s="69" t="s">
        <v>50</v>
      </c>
      <c r="C3" s="72" t="s">
        <v>51</v>
      </c>
      <c r="D3" s="94" t="s">
        <v>52</v>
      </c>
      <c r="E3" s="31"/>
    </row>
    <row r="4" s="26" customFormat="1" ht="51.75" customHeight="1">
      <c r="A4" s="27" t="n">
        <v>1</v>
      </c>
      <c r="B4" s="100" t="s">
        <v>26</v>
      </c>
      <c r="C4" s="72" t="s">
        <v>53</v>
      </c>
      <c r="D4" s="119" t="s">
        <v>54</v>
      </c>
      <c r="E4" s="31"/>
    </row>
    <row r="5" s="26" customFormat="1" ht="42.75" customHeight="1">
      <c r="A5" s="27" t="n">
        <v>2</v>
      </c>
      <c r="B5" s="112"/>
      <c r="C5" s="92" t="s">
        <v>55</v>
      </c>
      <c r="D5" s="95" t="s">
        <v>56</v>
      </c>
      <c r="E5" s="31">
        <v/>
      </c>
    </row>
    <row r="6" s="26" customFormat="1" ht="39.75" customHeight="1">
      <c r="A6" s="27" t="n">
        <v>3</v>
      </c>
      <c r="B6" s="112"/>
      <c r="C6" s="93" t="s">
        <v>57</v>
      </c>
      <c r="D6" s="96" t="s">
        <v>58</v>
      </c>
      <c r="E6" s="31"/>
    </row>
    <row r="7" s="26" customFormat="1" ht="38.25" customHeight="1">
      <c r="A7" s="27" t="n">
        <v>4</v>
      </c>
      <c r="B7" s="112"/>
      <c r="C7" s="93" t="s">
        <v>59</v>
      </c>
      <c r="D7" s="120" t="s">
        <v>60</v>
      </c>
      <c r="E7" s="31">
        <v/>
      </c>
    </row>
    <row r="8" s="26" customFormat="1" ht="57" customHeight="1">
      <c r="A8" s="27" t="n">
        <v>5</v>
      </c>
      <c r="B8" s="112"/>
      <c r="C8" s="93" t="s">
        <v>61</v>
      </c>
      <c r="D8" s="98" t="s">
        <v>62</v>
      </c>
      <c r="E8" s="31">
        <v/>
      </c>
    </row>
    <row r="9" s="26" customFormat="1" ht="37.5" customHeight="1">
      <c r="A9" s="27" t="n">
        <v>6</v>
      </c>
      <c r="B9" s="113"/>
      <c r="C9" s="93" t="s">
        <v>63</v>
      </c>
      <c r="D9" s="98" t="s">
        <v>64</v>
      </c>
      <c r="E9" s="31"/>
    </row>
  </sheetData>
  <sheetProtection insertHyperlinks="0" autoFilter="0"/>
  <mergeCells count="2">
    <mergeCell ref="A1:E1"/>
    <mergeCell ref="B4:B9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24"/>
    <col min="2" max="2" width="25.6640625" customWidth="1" style="24"/>
    <col min="3" max="3" width="37.5" customWidth="1" style="67"/>
    <col min="4" max="4" width="99" customWidth="1" style="24"/>
    <col min="5" max="5" width="38.8330078125" customWidth="1" style="24"/>
  </cols>
  <sheetData>
    <row r="1" ht="45" customHeight="1">
      <c r="A1" s="90" t="s">
        <v>65</v>
      </c>
      <c r="B1" s="28"/>
      <c r="C1" s="68"/>
      <c r="D1" s="28"/>
      <c r="E1" s="28"/>
    </row>
    <row r="2" ht="22.5" customHeight="1">
      <c r="A2" s="11" t="s">
        <v>5</v>
      </c>
      <c r="B2" s="91" t="s">
        <v>22</v>
      </c>
      <c r="C2" s="91" t="s">
        <v>23</v>
      </c>
      <c r="D2" s="91" t="s">
        <v>24</v>
      </c>
      <c r="E2" s="91" t="s">
        <v>25</v>
      </c>
    </row>
    <row r="3" ht="54.75" customHeight="1" hidden="1">
      <c r="A3" s="75" t="n">
        <v>1</v>
      </c>
      <c r="B3" s="76" t="s">
        <v>50</v>
      </c>
      <c r="C3" s="19"/>
      <c r="D3" s="88"/>
      <c r="E3" s="33"/>
    </row>
    <row r="4" ht="207" customHeight="1">
      <c r="A4" s="75" t="n">
        <v>1</v>
      </c>
      <c r="B4" s="103" t="s">
        <v>26</v>
      </c>
      <c r="C4" s="19" t="s">
        <v>66</v>
      </c>
      <c r="D4" s="121" t="s">
        <v>67</v>
      </c>
      <c r="E4" s="33"/>
    </row>
    <row r="5" ht="57" customHeight="1">
      <c r="A5" s="75" t="n">
        <v>2</v>
      </c>
      <c r="B5" s="103"/>
      <c r="C5" s="19" t="s">
        <v>68</v>
      </c>
      <c r="D5" s="122" t="s">
        <v>69</v>
      </c>
      <c r="E5" s="33"/>
    </row>
    <row r="6" ht="38.25" customHeight="1">
      <c r="A6" s="75" t="n">
        <v>3</v>
      </c>
      <c r="B6" s="103"/>
      <c r="C6" s="19" t="s">
        <v>70</v>
      </c>
      <c r="D6" s="102" t="s">
        <v>71</v>
      </c>
      <c r="E6" s="33"/>
    </row>
    <row r="7" ht="22.5" customHeight="1">
      <c r="A7" s="75" t="n">
        <v>4</v>
      </c>
      <c r="B7" s="103"/>
      <c r="C7" s="19" t="s">
        <v>72</v>
      </c>
      <c r="D7" s="106" t="s">
        <v>73</v>
      </c>
      <c r="E7" s="33"/>
    </row>
    <row r="8" ht="22.5" customHeight="1">
      <c r="A8" s="75" t="n">
        <v>5</v>
      </c>
      <c r="B8" s="103"/>
      <c r="C8" s="19" t="s">
        <v>74</v>
      </c>
      <c r="D8" s="107" t="s">
        <v>75</v>
      </c>
      <c r="E8" s="33"/>
    </row>
    <row r="9" ht="22.5" customHeight="1">
      <c r="A9" s="75" t="n">
        <v>6</v>
      </c>
      <c r="B9" s="103"/>
      <c r="C9" s="19" t="s">
        <v>76</v>
      </c>
      <c r="D9" s="102" t="s">
        <v>77</v>
      </c>
      <c r="E9" s="33"/>
    </row>
    <row r="10" ht="38.25" customHeight="1">
      <c r="A10" s="75" t="n">
        <v>7</v>
      </c>
      <c r="B10" s="103"/>
      <c r="C10" s="19" t="s">
        <v>78</v>
      </c>
      <c r="D10" s="102" t="s">
        <v>79</v>
      </c>
      <c r="E10" s="33"/>
    </row>
    <row r="11" ht="22.5" customHeight="1">
      <c r="A11" s="75" t="n">
        <v>8</v>
      </c>
      <c r="B11" s="103"/>
      <c r="C11" s="19" t="s">
        <v>80</v>
      </c>
      <c r="D11" s="109" t="s">
        <v>81</v>
      </c>
      <c r="E11" s="33"/>
    </row>
    <row r="12" ht="22.5" customHeight="1">
      <c r="A12" s="75" t="n">
        <v>9</v>
      </c>
      <c r="B12" s="103"/>
      <c r="C12" s="19" t="s">
        <v>82</v>
      </c>
      <c r="D12" s="109" t="s">
        <v>81</v>
      </c>
      <c r="E12" s="33"/>
    </row>
    <row r="13" ht="22.5" customHeight="1">
      <c r="A13" s="75" t="n">
        <v>10</v>
      </c>
      <c r="B13" s="103"/>
      <c r="C13" s="19" t="s">
        <v>83</v>
      </c>
      <c r="D13" s="109" t="s">
        <v>84</v>
      </c>
      <c r="E13" s="33"/>
    </row>
    <row r="14" ht="22.5" customHeight="1">
      <c r="A14" s="75" t="n">
        <v>11</v>
      </c>
      <c r="B14" s="103"/>
      <c r="C14" s="19" t="s">
        <v>85</v>
      </c>
      <c r="D14" s="109" t="s">
        <v>86</v>
      </c>
      <c r="E14" s="33"/>
    </row>
    <row r="15" ht="22.5" customHeight="1">
      <c r="A15" s="75" t="n">
        <v>12</v>
      </c>
      <c r="B15" s="103"/>
      <c r="C15" s="19" t="s">
        <v>87</v>
      </c>
      <c r="D15" s="109" t="s">
        <v>86</v>
      </c>
      <c r="E15" s="33"/>
    </row>
    <row r="16" ht="22.5" customHeight="1">
      <c r="A16" s="75" t="n">
        <v>13</v>
      </c>
      <c r="B16" s="103"/>
      <c r="C16" s="19" t="s">
        <v>88</v>
      </c>
      <c r="D16" s="109" t="s">
        <v>89</v>
      </c>
      <c r="E16" s="33"/>
    </row>
    <row r="17" ht="75.75" customHeight="1">
      <c r="A17" s="75" t="n">
        <v>14</v>
      </c>
      <c r="B17" s="103"/>
      <c r="C17" s="19" t="s">
        <v>90</v>
      </c>
      <c r="D17" s="123" t="s">
        <v>91</v>
      </c>
      <c r="E17" s="33"/>
    </row>
    <row r="18" ht="75.75" customHeight="1">
      <c r="A18" s="75" t="n">
        <v>15</v>
      </c>
      <c r="B18" s="103"/>
      <c r="C18" s="19" t="s">
        <v>92</v>
      </c>
      <c r="D18" s="124" t="s">
        <v>91</v>
      </c>
      <c r="E18" s="33"/>
    </row>
    <row r="19" ht="94.5" customHeight="1">
      <c r="A19" s="75" t="n">
        <v>16</v>
      </c>
      <c r="B19" s="103"/>
      <c r="C19" s="19" t="s">
        <v>93</v>
      </c>
      <c r="D19" s="125" t="s">
        <v>94</v>
      </c>
      <c r="E19" s="33"/>
    </row>
    <row r="20" ht="94.5" customHeight="1">
      <c r="A20" s="75" t="n">
        <v>17</v>
      </c>
      <c r="B20" s="103"/>
      <c r="C20" s="19" t="s">
        <v>95</v>
      </c>
      <c r="D20" s="126" t="s">
        <v>94</v>
      </c>
      <c r="E20" s="33"/>
    </row>
    <row r="21" ht="57" customHeight="1">
      <c r="A21" s="75" t="n">
        <v>18</v>
      </c>
      <c r="B21" s="103"/>
      <c r="C21" s="19" t="s">
        <v>96</v>
      </c>
      <c r="D21" s="127" t="s">
        <v>97</v>
      </c>
      <c r="E21" s="33"/>
    </row>
    <row r="22" ht="22.5" customHeight="1">
      <c r="A22" s="75" t="n">
        <v>19</v>
      </c>
      <c r="B22" s="103"/>
      <c r="C22" s="19" t="s">
        <v>98</v>
      </c>
      <c r="D22" s="108" t="s">
        <v>99</v>
      </c>
      <c r="E22" s="33"/>
    </row>
    <row r="23" ht="22.5" customHeight="1">
      <c r="A23" s="75" t="n">
        <v>20</v>
      </c>
      <c r="B23" s="103"/>
      <c r="C23" s="19" t="s">
        <v>100</v>
      </c>
      <c r="D23" s="108" t="s">
        <v>101</v>
      </c>
      <c r="E23" s="33"/>
    </row>
  </sheetData>
  <sheetProtection insertHyperlinks="0" autoFilter="0"/>
  <mergeCells count="2">
    <mergeCell ref="A1:E1"/>
    <mergeCell ref="B4:B2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43.998046875" style="5"/>
  </cols>
  <sheetData>
    <row r="1" ht="51" customHeight="1">
      <c r="A1" s="7" t="s">
        <v>102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37.5" customHeight="1">
      <c r="A3" s="27" t="n">
        <v>1</v>
      </c>
      <c r="B3" s="69" t="s">
        <v>50</v>
      </c>
      <c r="C3" s="70"/>
      <c r="D3" s="99"/>
      <c r="E3" s="32"/>
    </row>
    <row r="4" ht="37.5" customHeight="1">
      <c r="A4" s="27" t="n">
        <v>2</v>
      </c>
      <c r="B4" s="69"/>
      <c r="C4" s="70"/>
      <c r="D4" s="99"/>
      <c r="E4" s="32"/>
    </row>
    <row r="5" ht="37.5" customHeight="1">
      <c r="A5" s="27" t="n">
        <v>3</v>
      </c>
      <c r="B5" s="69"/>
      <c r="C5" s="70"/>
      <c r="D5" s="99"/>
      <c r="E5" s="32"/>
    </row>
    <row r="6" ht="37.5" customHeight="1">
      <c r="A6" s="27" t="n">
        <v>4</v>
      </c>
      <c r="B6" s="69"/>
      <c r="C6" s="70"/>
      <c r="D6" s="99"/>
      <c r="E6" s="32"/>
    </row>
    <row r="7" ht="37.5" customHeight="1">
      <c r="A7" s="27" t="n">
        <v>5</v>
      </c>
      <c r="B7" s="69"/>
      <c r="C7" s="70"/>
      <c r="D7" s="99"/>
      <c r="E7" s="32"/>
    </row>
    <row r="8" ht="37.5" customHeight="1">
      <c r="A8" s="30" t="n">
        <v>1</v>
      </c>
      <c r="B8" s="15" t="s">
        <v>26</v>
      </c>
      <c r="C8" s="71"/>
      <c r="D8" s="99"/>
      <c r="E8" s="102"/>
    </row>
    <row r="9" ht="37.5" customHeight="1">
      <c r="A9" s="30" t="n">
        <v>2</v>
      </c>
      <c r="B9" s="101"/>
      <c r="C9" s="71"/>
      <c r="D9" s="99"/>
      <c r="E9" s="102"/>
    </row>
  </sheetData>
  <sheetProtection insertHyperlinks="0" autoFilter="0"/>
  <mergeCells count="3">
    <mergeCell ref="A1:E1"/>
    <mergeCell ref="B8:B9"/>
    <mergeCell ref="B3:B7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3203125" customWidth="1" style="5"/>
    <col min="4" max="4" width="151.998046875" customWidth="1" style="6"/>
    <col min="5" max="5" width="38.8330078125" customWidth="1" style="5"/>
  </cols>
  <sheetData>
    <row r="1" ht="51" customHeight="1">
      <c r="A1" s="64" t="s">
        <v>103</v>
      </c>
      <c r="B1" s="65"/>
      <c r="C1" s="65"/>
      <c r="D1" s="66"/>
      <c r="E1" s="65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25" t="s">
        <v>25</v>
      </c>
    </row>
    <row r="3" ht="38.25" customHeight="1">
      <c r="A3" s="27" t="n">
        <v>1</v>
      </c>
      <c r="B3" s="15" t="s">
        <v>26</v>
      </c>
      <c r="C3" s="86" t="s">
        <v>104</v>
      </c>
      <c r="D3" s="128" t="s">
        <v>105</v>
      </c>
      <c r="E3" s="31"/>
    </row>
    <row r="4" ht="20.25" customHeight="1">
      <c r="A4" s="27" t="n">
        <v>2</v>
      </c>
      <c r="B4" s="111"/>
      <c r="C4" s="86" t="s">
        <v>106</v>
      </c>
      <c r="D4" s="109" t="s">
        <v>107</v>
      </c>
      <c r="E4" s="31"/>
    </row>
    <row r="5" ht="20.25" customHeight="1">
      <c r="A5" s="27" t="n">
        <v>3</v>
      </c>
      <c r="B5" s="111"/>
      <c r="C5" s="86" t="s">
        <v>108</v>
      </c>
      <c r="D5" s="109" t="s">
        <v>109</v>
      </c>
      <c r="E5" s="31"/>
    </row>
    <row r="6" ht="20.25" customHeight="1">
      <c r="A6" s="27" t="n">
        <v>4</v>
      </c>
      <c r="B6" s="111"/>
      <c r="C6" s="86" t="s">
        <v>110</v>
      </c>
      <c r="D6" s="111"/>
      <c r="E6" s="31"/>
    </row>
    <row r="7" ht="38.25" customHeight="1">
      <c r="A7" s="27" t="n">
        <v>5</v>
      </c>
      <c r="B7" s="111"/>
      <c r="C7" s="86" t="s">
        <v>111</v>
      </c>
      <c r="D7" s="129" t="s">
        <v>112</v>
      </c>
      <c r="E7" s="31"/>
    </row>
    <row r="8" ht="38.25" customHeight="1">
      <c r="A8" s="27" t="n">
        <v>6</v>
      </c>
      <c r="B8" s="111"/>
      <c r="C8" s="86" t="s">
        <v>113</v>
      </c>
      <c r="D8" s="130" t="s">
        <v>114</v>
      </c>
      <c r="E8" s="31"/>
    </row>
    <row r="9" ht="57" customHeight="1">
      <c r="A9" s="27" t="n">
        <v>7</v>
      </c>
      <c r="B9" s="111"/>
      <c r="C9" s="86" t="s">
        <v>115</v>
      </c>
      <c r="D9" s="131" t="s">
        <v>116</v>
      </c>
      <c r="E9" s="31"/>
    </row>
  </sheetData>
  <sheetProtection insertHyperlinks="0" autoFilter="0"/>
  <mergeCells count="3">
    <mergeCell ref="A1:E1"/>
    <mergeCell ref="B3:B9"/>
    <mergeCell ref="D5:D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6.83203125" customWidth="1" style="5"/>
  </cols>
  <sheetData>
    <row r="1" ht="51" customHeight="1">
      <c r="A1" s="7" t="s">
        <v>117</v>
      </c>
      <c r="B1" s="8"/>
      <c r="C1" s="8"/>
      <c r="D1" s="66"/>
      <c r="E1" s="65"/>
    </row>
    <row r="2" ht="34.5" customHeight="1">
      <c r="A2" s="25" t="s">
        <v>5</v>
      </c>
      <c r="B2" s="25" t="s">
        <v>22</v>
      </c>
      <c r="C2" s="63" t="s">
        <v>23</v>
      </c>
      <c r="D2" s="87" t="s">
        <v>24</v>
      </c>
      <c r="E2" s="11" t="s">
        <v>25</v>
      </c>
    </row>
    <row r="3" ht="19.5" customHeight="1">
      <c r="A3" s="30" t="n">
        <v>1</v>
      </c>
      <c r="B3" s="84" t="s">
        <v>26</v>
      </c>
      <c r="C3" s="89" t="s">
        <v>118</v>
      </c>
      <c r="D3" s="77" t="s">
        <v>119</v>
      </c>
      <c r="E3" s="78"/>
    </row>
    <row r="4" ht="19.5" customHeight="1">
      <c r="A4" s="30" t="n">
        <v>2</v>
      </c>
      <c r="B4" s="85"/>
      <c r="C4" s="112"/>
      <c r="D4" s="77" t="s">
        <v>120</v>
      </c>
      <c r="E4" s="79"/>
    </row>
    <row r="5" ht="19.5" customHeight="1">
      <c r="A5" s="30" t="n">
        <v>3</v>
      </c>
      <c r="B5" s="85"/>
      <c r="C5" s="113"/>
      <c r="D5" s="77" t="s">
        <v>121</v>
      </c>
      <c r="E5" s="80" t="s">
        <v>122</v>
      </c>
    </row>
    <row r="6" ht="20.25" customHeight="1">
      <c r="A6" s="30" t="n">
        <v>4</v>
      </c>
      <c r="B6" s="85"/>
      <c r="C6" s="86" t="s">
        <v>123</v>
      </c>
      <c r="D6" s="77" t="s">
        <v>124</v>
      </c>
      <c r="E6" s="80" t="s">
        <v>122</v>
      </c>
    </row>
    <row r="7" ht="20.25" customHeight="1">
      <c r="A7" s="30" t="n">
        <v>5</v>
      </c>
      <c r="B7" s="85"/>
      <c r="C7" s="86" t="s">
        <v>125</v>
      </c>
      <c r="D7" s="77" t="s">
        <v>126</v>
      </c>
      <c r="E7" s="81"/>
    </row>
    <row r="8" ht="19.5" customHeight="1">
      <c r="A8" s="30" t="n">
        <v>6</v>
      </c>
      <c r="B8" s="85"/>
      <c r="C8" s="110" t="s">
        <v>127</v>
      </c>
      <c r="D8" s="82" t="s">
        <v>128</v>
      </c>
      <c r="E8" s="83"/>
    </row>
    <row r="9" ht="19.5" customHeight="1">
      <c r="A9" s="30" t="n">
        <v>7</v>
      </c>
      <c r="B9" s="85"/>
      <c r="C9" s="112"/>
      <c r="D9" s="82" t="s">
        <v>129</v>
      </c>
      <c r="E9" s="83"/>
    </row>
    <row r="10" ht="19.5" customHeight="1">
      <c r="A10" s="30" t="n">
        <v>8</v>
      </c>
      <c r="B10" s="85"/>
      <c r="C10" s="112"/>
      <c r="D10" s="82" t="s">
        <v>130</v>
      </c>
      <c r="E10" s="83"/>
    </row>
    <row r="11" ht="19.5" customHeight="1">
      <c r="A11" s="30" t="n">
        <v>9</v>
      </c>
      <c r="B11" s="85"/>
      <c r="C11" s="113"/>
      <c r="D11" s="82" t="s">
        <v>131</v>
      </c>
      <c r="E11" s="83"/>
    </row>
  </sheetData>
  <sheetProtection insertHyperlinks="0" autoFilter="0"/>
  <mergeCells count="4">
    <mergeCell ref="A1:E1"/>
    <mergeCell ref="B3:B11"/>
    <mergeCell ref="C3:C5"/>
    <mergeCell ref="C8:C1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132</v>
      </c>
      <c r="B1" s="8"/>
      <c r="C1" s="8"/>
      <c r="D1" s="9"/>
      <c r="E1" s="8"/>
    </row>
    <row r="2" ht="26.25" customHeight="1">
      <c r="A2" s="25" t="s">
        <v>5</v>
      </c>
      <c r="B2" s="25" t="s">
        <v>22</v>
      </c>
      <c r="C2" s="25" t="s">
        <v>23</v>
      </c>
      <c r="D2" s="25" t="s">
        <v>24</v>
      </c>
      <c r="E2" s="25" t="s">
        <v>25</v>
      </c>
    </row>
    <row r="3" ht="40.5" customHeight="1">
      <c r="A3" s="30" t="n">
        <v>1</v>
      </c>
      <c r="B3" s="73" t="s">
        <v>50</v>
      </c>
      <c r="C3" s="23"/>
      <c r="D3" s="74"/>
      <c r="E3" s="31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133</v>
      </c>
      <c r="B1" s="8"/>
      <c r="C1" s="8"/>
      <c r="D1" s="9"/>
      <c r="E1" s="8"/>
    </row>
    <row r="2" ht="26.25" customHeight="1">
      <c r="A2" s="11" t="s">
        <v>5</v>
      </c>
      <c r="B2" s="25" t="s">
        <v>22</v>
      </c>
      <c r="C2" s="11" t="s">
        <v>23</v>
      </c>
      <c r="D2" s="11" t="s">
        <v>24</v>
      </c>
      <c r="E2" s="11" t="s">
        <v>25</v>
      </c>
    </row>
    <row r="3" ht="38.25" customHeight="1">
      <c r="A3" s="30" t="n">
        <v>1</v>
      </c>
      <c r="B3" s="15" t="s">
        <v>26</v>
      </c>
      <c r="C3" s="23" t="s">
        <v>134</v>
      </c>
      <c r="D3" s="109" t="s">
        <v>135</v>
      </c>
      <c r="E3" s="32"/>
    </row>
  </sheetData>
  <sheetProtection insertHyperlinks="0" autoFilter="0"/>
  <mergeCells count="1">
    <mergeCell ref="A1:E1"/>
  </mergeCells>
  <phoneticPr fontId="1" type="noConversion"/>
  <hyperlinks>
    <hyperlink ref="D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136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50</v>
      </c>
      <c r="C3" s="13"/>
      <c r="D3" s="14"/>
      <c r="E3" s="20"/>
    </row>
    <row r="4" s="26" customFormat="1" ht="25" customHeight="1">
      <c r="A4" s="10" t="n">
        <v>1</v>
      </c>
      <c r="B4" s="15" t="s">
        <v>26</v>
      </c>
      <c r="C4" s="16"/>
      <c r="D4" s="17"/>
      <c r="E4" s="21"/>
    </row>
    <row r="5" s="26" customFormat="1" ht="25" customHeight="1">
      <c r="A5" s="10" t="n">
        <v>2</v>
      </c>
      <c r="B5" s="15"/>
      <c r="C5" s="16"/>
      <c r="D5" s="17"/>
      <c r="E5" s="21"/>
    </row>
    <row r="6" ht="25" customHeight="1">
      <c r="A6" s="10" t="n">
        <v>3</v>
      </c>
      <c r="B6" s="15"/>
      <c r="C6" s="16"/>
      <c r="D6" s="18"/>
      <c r="E6" s="21"/>
    </row>
    <row r="7" ht="25" customHeight="1" hidden="1">
      <c r="A7" s="10" t="n">
        <v>4</v>
      </c>
      <c r="B7" s="15"/>
      <c r="C7" s="19"/>
      <c r="D7" s="17"/>
      <c r="E7" s="21"/>
    </row>
    <row r="8" ht="25" customHeight="1" hidden="1">
      <c r="A8" s="10" t="n">
        <v>5</v>
      </c>
      <c r="B8" s="15"/>
      <c r="C8" s="16"/>
      <c r="D8" s="17"/>
      <c r="E8" s="21"/>
    </row>
    <row r="9" ht="25" customHeight="1" hidden="1">
      <c r="A9" s="10" t="n">
        <v>6</v>
      </c>
      <c r="B9" s="15"/>
      <c r="C9" s="19"/>
      <c r="D9" s="17"/>
      <c r="E9" s="22"/>
    </row>
    <row r="10" ht="25" customHeight="1" hidden="1">
      <c r="A10" s="10" t="n">
        <v>7</v>
      </c>
      <c r="B10" s="15"/>
      <c r="C10" s="19"/>
      <c r="D10" s="17"/>
      <c r="E10" s="21"/>
    </row>
    <row r="11" ht="25" customHeight="1" hidden="1">
      <c r="A11" s="10" t="n">
        <v>8</v>
      </c>
      <c r="B11" s="15"/>
      <c r="C11" s="19"/>
      <c r="D11" s="17"/>
      <c r="E11" s="21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2026-05-25T17:18:40Z</dcterms:modified>
</cp:coreProperties>
</file>