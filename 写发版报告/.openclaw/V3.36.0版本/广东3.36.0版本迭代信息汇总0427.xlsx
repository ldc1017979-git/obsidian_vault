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 state="hidden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<sst xmlns="http://schemas.openxmlformats.org/spreadsheetml/2006/main">
  <si>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广东基地-数智工厂3.36.0版本迭代概览</t>
  </si>
  <si>
    <t>本次试用迭代</t>
  </si>
  <si>
    <t>基地试用周期</t>
  </si>
  <si>
    <t>04月27日-05月04日（共8天）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</si>
  <si>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</si>
  <si>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</si>
  <si>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</si>
  <si>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</si>
  <si>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</si>
  <si>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</si>
  <si>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</si>
  <si>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</si>
  <si>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</si>
  <si>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</si>
  <si>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</si>
  <si>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</si>
  <si>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</si>
  <si>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</si>
  <si>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</si>
  <si>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</si>
  <si>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</si>
  <si>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广东基地-仓储板块-2026年04月27日系统更新内容</t>
  </si>
  <si>
    <t>类型</t>
  </si>
  <si>
    <t>单据</t>
  </si>
  <si>
    <t>内容</t>
  </si>
  <si>
    <t>备注</t>
  </si>
  <si>
    <t>优化项</t>
  </si>
  <si>
    <t>供应商管理</t>
  </si>
  <si>
    <t>1、编辑中导入资质信息，有效日期异常的修复
2、资质名称增加字段长度，避免保存报错</t>
  </si>
  <si>
    <t>送检报告配置</t>
  </si>
  <si>
    <t>优化增加条码筛选</t>
  </si>
  <si>
    <t>货品管理</t>
  </si>
  <si>
    <t>优化筛选项，增加条码精准搜索、图片和状态筛选</t>
  </si>
  <si>
    <t>原料入库单</t>
  </si>
  <si>
    <t>1、送检弹窗大小优化，便于查看数据
2、针对&lt;顶/底盖&gt;送检按大批次依次排序处理</t>
  </si>
  <si>
    <t>期初期末库存</t>
  </si>
  <si>
    <t>优化计算公式不准问题，同时列表显示每天生产量和可生产万罐量</t>
  </si>
  <si>
    <t>原料入库检查表</t>
  </si>
  <si>
    <t>操作按钮优化，反审状态下增加作废操作</t>
  </si>
  <si>
    <t>咖啡因入库称重</t>
  </si>
  <si>
    <t>1、打印模板增加“原厂批次”“内部批次”字段选择
2、优化填写数据方式，重量在明细前快捷新增数据</t>
  </si>
  <si>
    <t>广东基地-生产板块-2026年04月27日系统更新内容</t>
  </si>
  <si>
    <t>广东-质量板块-2026年04月27系统更新内容</t>
  </si>
  <si>
    <t>新增功能</t>
  </si>
  <si>
    <t>【VB12原料退库单】</t>
  </si>
  <si>
    <t>新增单据</t>
  </si>
  <si>
    <t>【半成品检验报告】</t>
  </si>
  <si>
    <t>增加“批号”查询条件，支持直接查询到检验信息里的批号</t>
  </si>
  <si>
    <t>【热缩膜标准值配置】</t>
  </si>
  <si>
    <t>取消车间层级，改为按物料编码层级
1、通用版本是：每个类型的固定的不可删除的；
2、当纸皮进货检验报告根据“产品大类+类型+物料条码”未匹配到专项的标准值，则取通用内的标准值
3、历史标准值处理：
     ①湖北、贵州、福建基地历史标准值处理：各类型现有一车间的标准值同步到通用标准中；
     ②广东基地：
                      红牛-普通版取一车间的标准值作为初始化通用标准值；
                      红牛-强化版取二车间的标准值作为初始化通用标准值；
                      红牛-彩膜取三车间的标准值作为初始化通用标准值；
                      战马-普通版取一车间的标准值作为初始化通用标准值；</t>
  </si>
  <si>
    <t>【热缩膜检验报告】</t>
  </si>
  <si>
    <t>匹配标准值的逻辑调整为“根据产品大类+类型+物料条码匹配各个检测项目标准值，优先匹配类型下专项标准值，如未匹配到则取类型下通用的标准值”</t>
  </si>
  <si>
    <t>【恒温培养箱使用记录】</t>
  </si>
  <si>
    <t>增加“批次信息”分录：
1、增加“批次信息”分录，在选取生产日期以后，自动根据使用日期匹配“已确认”的检测批号信息确认单的检验日期带出去批号；
2、增加手动新增功能，点击打开“待新增清单窗口”：
①数据来源：使用日期匹配检测批号信息确认单的检测日期相同的数据，只能选取已确认的数据；
②默认按“批号”升序排序；
③已选取批号不显示；
④勾选确认以后，自动关闭“待新增清单”窗口；
⑤点击已确认、未确认，跳转到查询数据状态的单据中；</t>
  </si>
  <si>
    <t>【红牛成品检验结果/战马成品检验结果】</t>
  </si>
  <si>
    <t>增加查询条件“批号”，查询批次信息的批号</t>
  </si>
  <si>
    <t>【Brix、pH和成分分析检验记录】</t>
  </si>
  <si>
    <t>增加查询条件“批号”，查询检验信息的批号</t>
  </si>
  <si>
    <t>【成品标签标识检验报告】</t>
  </si>
  <si>
    <t>【成品卷封检验报告】</t>
  </si>
  <si>
    <t>【理化及微生物检验报告】</t>
  </si>
  <si>
    <t>【检测批号信息确认单】</t>
  </si>
  <si>
    <t>优化调整批号的查询逻辑：需要支持查询到批号明细是否存在；</t>
  </si>
  <si>
    <t>【国标法微生物检测记录】</t>
  </si>
  <si>
    <t>自定义模版配置优化3项：
1、模版中心的表单名称不对，改为“国标法微生物检测记录”
2、适用条件：改为“检验品类+检验方法”
3、表单模版设计 各分录命名后面常考vb12后面都要带上尾缀，是详情字段还是列表字段
</t>
  </si>
  <si>
    <t>【原料异常处置单】</t>
  </si>
  <si>
    <t>增加“发起日期”的查询条件</t>
  </si>
  <si>
    <t>【成分分析检验报告】</t>
  </si>
  <si>
    <t>第一条CT信息的生产日期大于第二条数据的生产日期时，打开编辑和详情页面触发该预警窗口</t>
  </si>
  <si>
    <t>【国标法微生物记录】</t>
  </si>
  <si>
    <t>速溶咖啡粉的国标法微生物页面优化调整5项：
1、隐藏时间字段；
2、增加“供应商”字段，选取，支持模糊检索；数据来源逻辑：仓储管理-供应商管理-供应商大类=原材料，供应商类型=内容物的数据
3、增加“厂商”字段，选取，支持模糊检索；数据来源逻辑：仓储管理-供应商管理-供应商大类=原材料，供应商类型=内容物的数据
4、隐藏批号字段；
5、增加“原厂批次”字段，该字段必填，为文本格式；
6、隐藏掉两行原液的输入行</t>
  </si>
  <si>
    <t>【CIP微生物检验报告】</t>
  </si>
  <si>
    <t>1、自定义模版模板适用条件改为：测试类型+清洗杀菌；2、导出命名规则的系统字段增加“产线”</t>
  </si>
  <si>
    <t>【仪器管理】</t>
  </si>
  <si>
    <t>已经在编辑点击确认了仪器类型保存后，但是再点击编辑，仪器类型仍为空白</t>
  </si>
  <si>
    <t>【白砂糖检验报告】</t>
  </si>
  <si>
    <t>1、基础信息和列表页增加总批数字段，有检验明细汇总统计得出；2、列表页增加批数汇总功能按当前页面汇总</t>
  </si>
  <si>
    <t>【顶盖/底盖检验报告】</t>
  </si>
  <si>
    <t>1、基础信息和列表页增加总托数字段，有检验明细汇总统计得出；2、列表页增加托数汇总功能按当前页面汇总</t>
  </si>
  <si>
    <t>【红牛空罐信息确认单】</t>
  </si>
  <si>
    <t>1、基础信息和列表页增加总托数字段，有包号明细汇总统计得出；2、列表页增加托数汇总功能按当前页面汇总</t>
  </si>
  <si>
    <t>【压缩空气验证】</t>
  </si>
  <si>
    <t>优化调整3项：
1、检验员：调整为“根据新增用户写入”，可以手动调整；
2、检验员签名：改为手动签名，不在根据提交签名写入，并且检验员签名也是必填项；
3、增加“提交人签名”字段，根据签字提交写入</t>
  </si>
  <si>
    <t>【灭菌锅生物性能验证】</t>
  </si>
  <si>
    <t>优化调整3项：
1、验证员：调整为“根据新增用户写入”，可以手动调整；
2、验证员签名：改为手动签名，不在根据提交签名写入，并且验证员签名也是必填项；
3、增加“提交人签名”字段，根据签字提交写入</t>
  </si>
  <si>
    <t>【浮游菌检测】</t>
  </si>
  <si>
    <t>【空气沉降检验报告】</t>
  </si>
  <si>
    <t>【理化指标检验报告】</t>
  </si>
  <si>
    <t>CT生产日期改不显示改为“-”</t>
  </si>
  <si>
    <t>【浮游菌检验报告】</t>
  </si>
  <si>
    <t>消息中心无法直接进入报告</t>
  </si>
  <si>
    <t>【战马CIP检测项目】</t>
  </si>
  <si>
    <t>取40罐，选择OK保存后，再次进入显示1</t>
  </si>
  <si>
    <t>【标签标识检测报告】</t>
  </si>
  <si>
    <t>1、单据基础信息增加“空罐线别”字段，该字段内容从红牛信息确认单推送下来，不可修改；2、自定义模版设置导出命名规则的系统字段增加：空罐线别</t>
  </si>
  <si>
    <t>【空罐卷封检测报告】</t>
  </si>
  <si>
    <t>设置导出命名规则的系统字段增加：空罐线别</t>
  </si>
  <si>
    <t>【广东、福建基地-理化及微生物检验报告】</t>
  </si>
  <si>
    <t>净含量控制只能输入数值，并且必须是4个数值，输入完毕以后系统自动除以10</t>
  </si>
  <si>
    <t>成品复检单</t>
  </si>
  <si>
    <t>需要把各基地-试用环境的成品复检单隐藏掉</t>
  </si>
  <si>
    <t>【成品发货通知单】</t>
  </si>
  <si>
    <t>优化两项：
1、自动带出批号时，不能把理化及微生物结果=待定的批号带入到检验信息中；
2、手动添加时，其他结果都合格，理化及微生物结果=待定也需要控制不能选取；</t>
  </si>
  <si>
    <t>需要测试选有批号的理化微生物结果=待定时，是否无法提交；</t>
  </si>
  <si>
    <t>优化调整3项：
1、隐藏掉：基础信息和列表中的复检结果字段；
2、隐藏掉：复检信息分录；
3、只有基础信息中的检验结果=合格时，才能签字提交。</t>
  </si>
  <si>
    <t>【Brix、pH成分分析报告】</t>
  </si>
  <si>
    <t>优化调整7项：
1、隐藏掉：基础信息和列表中的复检结果字段；
2、隐藏掉：复检信息分录；
3、只有基础信息中的检验结果=合格时，才能签字提交。
4、检验信息中的检验结果增加枚举值：“待定”，该状态通过 “暂缓录入微生物”按钮变更；
5、基础信息中检验结果自动判定时，所有待定明细不影响结果的判定或者当做合格判定也可；
6、检验信息分录增加“暂缓录入微生物”按钮，该按钮只能在“暂存”状态下使用；
7、检验信息分录增加“补充微生物指标”按钮，该按钮能在“暂存/待审核/已审核”状态下使用；</t>
  </si>
  <si>
    <t>【原材料检测模块】</t>
  </si>
  <si>
    <t>质量管理单据的列表页取消点击列表数据自动进入详情功能，点击详情按钮才能进入详情。</t>
  </si>
  <si>
    <t>【内涂膜检验报告】</t>
  </si>
  <si>
    <t>检验试剂2%Na2SO₄  命名调整为 “2%Na₂SO₄”</t>
  </si>
  <si>
    <t>批号自动排序功能针对特殊场景999Z到001A进行逻辑补充；</t>
  </si>
  <si>
    <t>【VB12称重记录】</t>
  </si>
  <si>
    <t>优化调整4项：
1、列表页增加“退结余状态”字段显示；
2、“新增”按钮：限制在之前的状态校准基础上增加“退结余状态”的判断；“只有最新的单据状态=已审核并且其退结余状态=未发起/已完成才能新增。”
3、详情页增加“退结余状态、退结余重量、退库单号”：
① 退结余状态：枚举值（未发起、退库中、已完成），默认：未发起；
② 退结余重量：默认为空，通过退库单保存时反写；
③退库单号：默认为空，通过退库单保存时反写；
4、“退原料结余”按钮：（此按钮要有权限限制）
①默认退最新的单据；
②只有最新的单据状态=已审核并且退结余状态=未发起才能使用；
③本期原料结余必须大于0。
5、退原料结余窗口签字提交以后，自动生成“待审核”的VB12原料退库单，并且VB12称重记录的退结余状态改为“退库中”，写入退结余重量和退库单号；</t>
  </si>
  <si>
    <t>异常库存信息分录中增加“供应商”字段，名称和供应商ID都需要存储</t>
  </si>
  <si>
    <t>广东基地-设备板块-2026年04月27日系统更新内容</t>
  </si>
  <si>
    <t>广东基地-安全板块-2026年04月27日系统更新内容</t>
  </si>
  <si>
    <t>有限空间气体检测</t>
  </si>
  <si>
    <t>新增作业票检查表记录单据。后续继续完善作业证完成时进行关联</t>
  </si>
  <si>
    <t>消防-点巡检记录</t>
  </si>
  <si>
    <t>针对检查正常的单据，增加反审操作。有权限用户可反审单据，用于修改数据</t>
  </si>
  <si>
    <t>节前安全卫生检查表</t>
  </si>
  <si>
    <t>检查项目执行时，默认选择正常，原选择正常时必填照片，调整为正常情况下照片非必填</t>
  </si>
  <si>
    <t>接触职业危害因素项目</t>
  </si>
  <si>
    <t>工种类型增加选项：化验员、电工、备件员</t>
  </si>
  <si>
    <t>广东基地-人事行政板块-2026年04月27日系统更新内容</t>
  </si>
  <si>
    <t>招聘管理-招聘岗位设置</t>
  </si>
  <si>
    <t>新增支持自主配置招聘岗位信息，应聘者填写信息时，仅支持选择正在招聘的岗位信息，同时可设置是否需要背调</t>
  </si>
  <si>
    <t>会议纪要</t>
  </si>
  <si>
    <t>新增优化复制功能，可以快速复制过往创建的会议信息</t>
  </si>
  <si>
    <t>新增存档功能，将会议的附件信息存入知识库</t>
  </si>
  <si>
    <t>新增支持小程序查看会议附件</t>
  </si>
  <si>
    <t>5月6日正式版上线后查看</t>
  </si>
  <si>
    <t>绩效管理-标准工时</t>
  </si>
  <si>
    <t>标准工时个人绩效支持复评填写备注信息</t>
  </si>
  <si>
    <t>标准工时个人绩效表-待提交状态下更新考核细则后更新绩效表内容</t>
  </si>
  <si>
    <t>绩效考核设置，标准工时月度汇总规则-支持设置是否需员工签字确认</t>
  </si>
  <si>
    <t>标准工时个人绩效员工/主管/经理级均加上下月计划字段</t>
  </si>
  <si>
    <t>标准工时考核细则-详情页面按照合并样式显示</t>
  </si>
  <si>
    <t>标准工时个人绩效详情-界面样式优化，新增考核级别和被考核人查询条件</t>
  </si>
  <si>
    <t>标准工时个人绩效-提交/审核校验分数不能超过100分</t>
  </si>
  <si>
    <t>标准工时绩效表-列表新增字段及查询优化，列表新增已提交人数</t>
  </si>
  <si>
    <t>绩效管理-综合工时</t>
  </si>
  <si>
    <t>关键事件-优化支持一人多条批量生成</t>
  </si>
  <si>
    <t>关键事件-已申诉状态提交签字新增备注信息</t>
  </si>
  <si>
    <t>综合工时绩效表-详情页左边固定员工信息</t>
  </si>
  <si>
    <t>综合工时绩效表-查阅优化，按照月份查询且支持通过父级部门查询</t>
  </si>
  <si>
    <t>广东基地-财务板块-2026年04月27日系统更新内容</t>
  </si>
  <si>
    <t>广东基地-基础板块-2026年04月27日系统更新内容</t>
  </si>
  <si>
    <t>知识仓库</t>
  </si>
  <si>
    <t>知识仓库-文件名称模糊搜索优化</t>
  </si>
  <si>
    <t>任务管理</t>
  </si>
  <si>
    <t>任务管理优化-任务状态支持多选</t>
  </si>
  <si>
    <t>账号管理</t>
  </si>
  <si>
    <t>新增账号状态查询和导出新增状态字段</t>
  </si>
  <si>
    <t>小程序端</t>
  </si>
  <si>
    <t>审批流程UI样式优化</t>
  </si>
  <si>
    <t>人事行政模块</t>
  </si>
  <si>
    <t>核心单据详情页新增【上一条】【下一条】数据查看，其他模块后续逐步增加</t>
  </si>
  <si>
    <t>消息通知</t>
  </si>
  <si>
    <t>优化消息通知单据没访问权提示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</si>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</sst>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F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CC102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7" fillId="0" borderId="6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15" fillId="6" borderId="9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9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6" borderId="9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6" fillId="2" borderId="13" xfId="0" applyFont="1" applyFill="1" applyBorder="1" applyProtection="1">
      <alignment horizontal="center" vertical="center" wrapText="1"/>
    </xf>
    <xf numFmtId="0" fontId="17" fillId="0" borderId="14" xfId="0" applyFont="1" applyBorder="1" applyProtection="1">
      <alignment horizontal="left" vertical="center"/>
    </xf>
    <xf numFmtId="0" fontId="18" fillId="6" borderId="14" xfId="0" applyFont="1" applyFill="1" applyBorder="1" applyProtection="1">
      <alignment horizontal="left" vertical="center" wrapText="1"/>
    </xf>
    <xf numFmtId="0" fontId="20" fillId="0" borderId="14" xfId="0" applyFont="1" applyBorder="1" applyProtection="1">
      <alignment horizontal="left" vertical="center"/>
    </xf>
    <xf numFmtId="0" fontId="15" fillId="3" borderId="14" xfId="0" applyFont="1" applyFill="1" applyBorder="1" applyProtection="1">
      <alignment horizontal="center" vertical="center" wrapText="1"/>
    </xf>
    <xf numFmtId="0" fontId="23" fillId="0" borderId="15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" xfId="0" applyFont="1" applyFill="1" applyBorder="1" applyProtection="1">
      <alignment horizontal="center" vertical="center" wrapText="1"/>
    </xf>
    <xf numFmtId="0" fontId="28" fillId="6" borderId="14" xfId="0" applyFont="1" applyFill="1" applyBorder="1" applyProtection="1">
      <alignment horizontal="center" vertical="center" wrapText="1"/>
    </xf>
    <xf numFmtId="0" fontId="8" fillId="3" borderId="17" xfId="0" applyFont="1" applyFill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left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10" fillId="0" borderId="4" xfId="0" applyFont="1" applyBorder="1" applyProtection="1">
      <alignment horizontal="left" vertical="center" wrapText="1"/>
    </xf>
    <xf numFmtId="0" fontId="10" fillId="0" borderId="4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9" fillId="4" borderId="1" xfId="0" applyFont="1" applyFill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4" fillId="0" borderId="5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8" xfId="0" applyFont="1" applyBorder="1" applyProtection="1">
      <alignment horizontal="left" vertical="center" wrapText="1"/>
    </xf>
    <xf numFmtId="0" fontId="11" fillId="6" borderId="1" xfId="0" applyFont="1" applyFill="1" applyBorder="1" applyProtection="1">
      <alignment horizontal="center" vertical="center" wrapText="1"/>
    </xf>
    <xf numFmtId="0" fontId="11" fillId="0" borderId="19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/>
    </xf>
    <xf numFmtId="0" fontId="30" fillId="0" borderId="4" xfId="0" applyFont="1" applyBorder="1" applyProtection="1">
      <alignment horizontal="left" vertical="center"/>
    </xf>
    <xf numFmtId="0" fontId="11" fillId="0" borderId="18" xfId="0" applyFont="1" applyBorder="1" applyProtection="1">
      <alignment horizontal="left" vertical="center"/>
    </xf>
    <xf numFmtId="0" fontId="11" fillId="0" borderId="1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/>
    </xf>
    <xf numFmtId="0" fontId="9" fillId="5" borderId="6" xfId="0" applyFont="1" applyFill="1" applyBorder="1" applyProtection="1">
      <alignment horizontal="center" vertical="center"/>
    </xf>
    <xf numFmtId="0" fontId="13" fillId="0" borderId="6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8" fillId="3" borderId="6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center" vertical="center"/>
    </xf>
    <xf numFmtId="0" fontId="5" fillId="8" borderId="5" xfId="0" applyFont="1" applyFill="1" applyBorder="1" applyProtection="1">
      <alignment horizontal="center" vertical="center" wrapText="1"/>
    </xf>
    <xf numFmtId="0" fontId="8" fillId="9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left" vertical="center" wrapText="1"/>
    </xf>
    <xf numFmtId="0" fontId="10" fillId="0" borderId="11" xfId="0" applyFont="1" applyBorder="1" applyProtection="1">
      <alignment horizontal="center" vertical="center"/>
    </xf>
    <xf numFmtId="0" fontId="32" fillId="0" borderId="20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5" borderId="5" xfId="0" applyFont="1" applyFill="1" applyBorder="1" applyProtection="1">
      <alignment horizontal="center" vertical="center"/>
    </xf>
    <xf numFmtId="0" fontId="11" fillId="10" borderId="1" xfId="0" applyFont="1" applyFill="1" applyBorder="1" applyProtection="1">
      <alignment horizontal="left" vertical="center" wrapText="1"/>
    </xf>
    <xf numFmtId="0" fontId="31" fillId="0" borderId="19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33" fillId="0" borderId="2" xfId="0" applyFont="1" applyBorder="1" applyProtection="1">
      <alignment vertical="center"/>
    </xf>
    <xf numFmtId="0" fontId="33" fillId="0" borderId="3" xfId="0" applyFont="1" applyBorder="1" applyProtection="1">
      <alignment vertical="center"/>
    </xf>
    <xf numFmtId="0" fontId="33" fillId="0" borderId="1" xfId="0" applyFont="1" applyBorder="1" applyProtection="1">
      <alignment vertical="center"/>
    </xf>
    <xf numFmtId="0" fontId="34" fillId="0" borderId="20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10" borderId="1" xfId="0" applyFont="1" applyFill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6"/>
    <col min="4" max="4" width="11.666015625" customWidth="1" style="26"/>
    <col min="5" max="5" width="12.6650390625" customWidth="1" style="26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46139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46153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0</v>
      </c>
      <c r="D6" s="61" t="n">
        <v>7</v>
      </c>
      <c r="E6" s="62" t="n">
        <f>C6+D6</f>
        <v>7</v>
      </c>
    </row>
    <row r="7" ht="13.5" customHeight="1">
      <c r="A7" s="45" t="n">
        <v>2</v>
      </c>
      <c r="B7" s="46" t="s">
        <v>11</v>
      </c>
      <c r="C7" s="60" t="n">
        <v>0</v>
      </c>
      <c r="D7" s="61" t="n">
        <v>0</v>
      </c>
      <c r="E7" s="62" t="n">
        <f>C7+D7</f>
        <v>0</v>
      </c>
    </row>
    <row r="8" ht="13.5" customHeight="1">
      <c r="A8" s="45" t="n">
        <v>3</v>
      </c>
      <c r="B8" s="46" t="s">
        <v>12</v>
      </c>
      <c r="C8" s="60" t="n">
        <v>1</v>
      </c>
      <c r="D8" s="61" t="n">
        <v>41</v>
      </c>
      <c r="E8" s="62" t="n">
        <f>C8+D8</f>
        <v>42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0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1</v>
      </c>
      <c r="D10" s="61" t="n">
        <v>3</v>
      </c>
      <c r="E10" s="62" t="n">
        <f>C10+D10</f>
        <v>4</v>
      </c>
    </row>
    <row r="11" ht="13.5" customHeight="1">
      <c r="A11" s="45" t="n">
        <v>6</v>
      </c>
      <c r="B11" s="46" t="s">
        <v>15</v>
      </c>
      <c r="C11" s="60" t="n">
        <v>1</v>
      </c>
      <c r="D11" s="61" t="n">
        <v>15</v>
      </c>
      <c r="E11" s="62" t="n">
        <f>C11+D11</f>
        <v>16</v>
      </c>
    </row>
    <row r="12" ht="13.5" customHeight="1">
      <c r="A12" s="45" t="n">
        <v>7</v>
      </c>
      <c r="B12" s="46" t="s">
        <v>16</v>
      </c>
      <c r="C12" s="60" t="n">
        <v>0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6</v>
      </c>
      <c r="E13" s="62" t="n">
        <f>C13+D13</f>
        <v>6</v>
      </c>
    </row>
    <row r="14" ht="13.5" customHeight="1">
      <c r="A14" s="45" t="n">
        <v>9</v>
      </c>
      <c r="B14" s="46" t="s">
        <v>9</v>
      </c>
      <c r="C14" s="60" t="n">
        <f>C7+C6+C8+C9+C11+C10+C12+C13</f>
        <v>3</v>
      </c>
      <c r="D14" s="61" t="n">
        <f>D6+D7+D8+D9+D10+D11+D12+D13</f>
        <v>72</v>
      </c>
      <c r="E14" s="62" t="n">
        <f>C14+D14</f>
        <v>75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27" t="s">
        <v>20</v>
      </c>
      <c r="B17" s="51"/>
      <c r="C17" s="51"/>
      <c r="D17" s="51"/>
      <c r="E17" s="59"/>
    </row>
  </sheetData>
  <sheetProtection insertHyperlinks="0" autoFilter="0"/>
  <mergeCells count="10">
    <mergeCell ref="C2:E2"/>
    <mergeCell ref="A3:B3"/>
    <mergeCell ref="A1:E1"/>
    <mergeCell ref="A4:B4"/>
    <mergeCell ref="A17:E17"/>
    <mergeCell ref="A2:B2"/>
    <mergeCell ref="A16:E16"/>
    <mergeCell ref="C3:E3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64" t="s">
        <v>21</v>
      </c>
      <c r="B1" s="65"/>
      <c r="C1" s="65"/>
      <c r="D1" s="66"/>
      <c r="E1" s="65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1.25" customHeight="1">
      <c r="A3" s="27" t="n">
        <v>1</v>
      </c>
      <c r="B3" s="15" t="s">
        <v>26</v>
      </c>
      <c r="C3" s="95" t="s">
        <v>27</v>
      </c>
      <c r="D3" s="128" t="s">
        <v>28</v>
      </c>
      <c r="E3" s="31"/>
    </row>
    <row r="4" ht="24" customHeight="1">
      <c r="A4" s="27" t="n">
        <v>2</v>
      </c>
      <c r="B4" s="126"/>
      <c r="C4" s="95" t="s">
        <v>29</v>
      </c>
      <c r="D4" s="119" t="s">
        <v>30</v>
      </c>
      <c r="E4" s="31"/>
    </row>
    <row r="5" ht="26.25" customHeight="1">
      <c r="A5" s="27" t="n">
        <v>3</v>
      </c>
      <c r="B5" s="126"/>
      <c r="C5" s="95" t="s">
        <v>31</v>
      </c>
      <c r="D5" s="119" t="s">
        <v>32</v>
      </c>
      <c r="E5" s="31"/>
    </row>
    <row r="6" ht="38.25" customHeight="1">
      <c r="A6" s="27" t="n">
        <v>4</v>
      </c>
      <c r="B6" s="126"/>
      <c r="C6" s="95" t="s">
        <v>33</v>
      </c>
      <c r="D6" s="129" t="s">
        <v>34</v>
      </c>
      <c r="E6" s="31"/>
    </row>
    <row r="7" ht="20.25" customHeight="1">
      <c r="A7" s="27" t="n">
        <v>5</v>
      </c>
      <c r="B7" s="126"/>
      <c r="C7" s="95" t="s">
        <v>35</v>
      </c>
      <c r="D7" s="119" t="s">
        <v>36</v>
      </c>
      <c r="E7" s="31"/>
    </row>
    <row r="8" ht="20.25" customHeight="1">
      <c r="A8" s="27" t="n">
        <v>6</v>
      </c>
      <c r="B8" s="126"/>
      <c r="C8" s="95" t="s">
        <v>37</v>
      </c>
      <c r="D8" s="119" t="s">
        <v>38</v>
      </c>
      <c r="E8" s="31"/>
    </row>
    <row r="9" ht="38.25" customHeight="1">
      <c r="A9" s="27" t="n">
        <v>7</v>
      </c>
      <c r="B9" s="126"/>
      <c r="C9" s="95" t="s">
        <v>39</v>
      </c>
      <c r="D9" s="130" t="s">
        <v>40</v>
      </c>
      <c r="E9" s="31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29"/>
  </cols>
  <sheetData>
    <row r="1" s="29" customFormat="1" ht="51" customHeight="1">
      <c r="A1" s="64" t="s">
        <v>41</v>
      </c>
      <c r="B1" s="65"/>
      <c r="C1" s="66"/>
      <c r="D1" s="66"/>
      <c r="E1" s="65"/>
    </row>
    <row r="2" s="29" customFormat="1" ht="23.39999999999999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s="26" customFormat="1" ht="75.75" customHeight="1">
      <c r="A3" s="27" t="n">
        <v>1</v>
      </c>
      <c r="B3" s="15" t="s">
        <v>26</v>
      </c>
      <c r="C3" s="74"/>
      <c r="D3" s="105"/>
      <c r="E3" s="31"/>
    </row>
    <row r="4" s="26" customFormat="1" ht="57" customHeight="1">
      <c r="A4" s="27" t="n">
        <v>2</v>
      </c>
      <c r="B4" s="84"/>
      <c r="C4" s="101"/>
      <c r="D4" s="106"/>
      <c r="E4" s="31"/>
    </row>
    <row r="5" s="26" customFormat="1" ht="113.25" customHeight="1">
      <c r="A5" s="27" t="n">
        <v>3</v>
      </c>
      <c r="B5" s="84"/>
      <c r="C5" s="102"/>
      <c r="D5" s="107"/>
      <c r="E5" s="31"/>
    </row>
    <row r="6" s="26" customFormat="1" ht="113.25" customHeight="1">
      <c r="A6" s="27" t="n">
        <v>4</v>
      </c>
      <c r="B6" s="84"/>
      <c r="C6" s="102"/>
      <c r="D6" s="108"/>
      <c r="E6" s="31"/>
    </row>
    <row r="7" s="26" customFormat="1" ht="57" customHeight="1">
      <c r="A7" s="27" t="n">
        <v>5</v>
      </c>
      <c r="B7" s="84"/>
      <c r="C7" s="102"/>
      <c r="D7" s="109"/>
      <c r="E7" s="31"/>
    </row>
    <row r="8" s="26" customFormat="1" ht="57" customHeight="1">
      <c r="A8" s="27" t="n">
        <v>6</v>
      </c>
      <c r="B8" s="84"/>
      <c r="C8" s="102"/>
      <c r="D8" s="110"/>
      <c r="E8" s="31"/>
    </row>
    <row r="9" s="26" customFormat="1" ht="113.25" customHeight="1">
      <c r="A9" s="27" t="n">
        <v>7</v>
      </c>
      <c r="B9" s="84"/>
      <c r="C9" s="102"/>
      <c r="D9" s="111"/>
      <c r="E9" s="31"/>
    </row>
    <row r="10" s="26" customFormat="1" ht="38.25" customHeight="1">
      <c r="A10" s="27" t="n">
        <v>8</v>
      </c>
      <c r="B10" s="84"/>
      <c r="C10" s="102"/>
      <c r="D10" s="112"/>
      <c r="E10" s="31"/>
    </row>
    <row r="11" s="26" customFormat="1" ht="60" customHeight="1">
      <c r="A11" s="27" t="n">
        <v>9</v>
      </c>
      <c r="B11" s="84"/>
      <c r="C11" s="102"/>
      <c r="D11" s="113"/>
      <c r="E11" s="31"/>
    </row>
  </sheetData>
  <sheetProtection insertHyperlinks="0" autoFilter="0"/>
  <mergeCells count="2">
    <mergeCell ref="B3:B11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4"/>
    <col min="2" max="2" width="25.6640625" customWidth="1" style="24"/>
    <col min="3" max="3" width="37.5" customWidth="1" style="67"/>
    <col min="4" max="4" width="99" customWidth="1" style="24"/>
    <col min="5" max="5" width="38.8330078125" customWidth="1" style="24"/>
  </cols>
  <sheetData>
    <row r="1" ht="45" customHeight="1">
      <c r="A1" s="99" t="s">
        <v>42</v>
      </c>
      <c r="B1" s="28"/>
      <c r="C1" s="68"/>
      <c r="D1" s="28"/>
      <c r="E1" s="28"/>
    </row>
    <row r="2" ht="22.5" customHeight="1">
      <c r="A2" s="11" t="s">
        <v>5</v>
      </c>
      <c r="B2" s="100" t="s">
        <v>22</v>
      </c>
      <c r="C2" s="100" t="s">
        <v>23</v>
      </c>
      <c r="D2" s="100" t="s">
        <v>24</v>
      </c>
      <c r="E2" s="100" t="s">
        <v>25</v>
      </c>
    </row>
    <row r="3" ht="54.75" customHeight="1">
      <c r="A3" s="82" t="n">
        <v>1</v>
      </c>
      <c r="B3" s="83" t="s">
        <v>43</v>
      </c>
      <c r="C3" s="19" t="s">
        <v>44</v>
      </c>
      <c r="D3" s="97" t="s">
        <v>45</v>
      </c>
      <c r="E3" s="33"/>
    </row>
    <row r="4" ht="33" customHeight="1">
      <c r="A4" s="82" t="n">
        <v>1</v>
      </c>
      <c r="B4" s="79" t="s">
        <v>26</v>
      </c>
      <c r="C4" s="19" t="s">
        <v>46</v>
      </c>
      <c r="D4" s="97" t="s">
        <v>47</v>
      </c>
      <c r="E4" s="33"/>
    </row>
    <row r="5" ht="207" customHeight="1">
      <c r="A5" s="82" t="n">
        <v>2</v>
      </c>
      <c r="B5" s="79"/>
      <c r="C5" s="19" t="s">
        <v>48</v>
      </c>
      <c r="D5" s="131" t="s">
        <v>49</v>
      </c>
      <c r="E5" s="86"/>
    </row>
    <row r="6" ht="44.25" customHeight="1">
      <c r="A6" s="82" t="n">
        <v>3</v>
      </c>
      <c r="B6" s="79"/>
      <c r="C6" s="19" t="s">
        <v>50</v>
      </c>
      <c r="D6" s="97" t="s">
        <v>51</v>
      </c>
      <c r="E6" s="86"/>
    </row>
    <row r="7" ht="169.5" customHeight="1">
      <c r="A7" s="82" t="n">
        <v>4</v>
      </c>
      <c r="B7" s="79"/>
      <c r="C7" s="19" t="s">
        <v>52</v>
      </c>
      <c r="D7" s="132" t="s">
        <v>53</v>
      </c>
      <c r="E7" s="33"/>
    </row>
    <row r="8" ht="47.25" customHeight="1">
      <c r="A8" s="82" t="n">
        <v>5</v>
      </c>
      <c r="B8" s="79"/>
      <c r="C8" s="19" t="s">
        <v>54</v>
      </c>
      <c r="D8" s="115" t="s">
        <v>55</v>
      </c>
      <c r="E8" s="33"/>
    </row>
    <row r="9" ht="30" customHeight="1">
      <c r="A9" s="82" t="n">
        <v>6</v>
      </c>
      <c r="B9" s="79"/>
      <c r="C9" s="19" t="s">
        <v>56</v>
      </c>
      <c r="D9" s="116" t="s">
        <v>57</v>
      </c>
      <c r="E9" s="33"/>
    </row>
    <row r="10" ht="27.75" customHeight="1">
      <c r="A10" s="82" t="n">
        <v>7</v>
      </c>
      <c r="B10" s="79"/>
      <c r="C10" s="19" t="s">
        <v>58</v>
      </c>
      <c r="D10" s="117" t="s">
        <v>57</v>
      </c>
      <c r="E10" s="33"/>
    </row>
    <row r="11" ht="30" customHeight="1">
      <c r="A11" s="82" t="n">
        <v>8</v>
      </c>
      <c r="B11" s="79"/>
      <c r="C11" s="19" t="s">
        <v>59</v>
      </c>
      <c r="D11" s="118" t="s">
        <v>57</v>
      </c>
      <c r="E11" s="33"/>
    </row>
    <row r="12" ht="28.5" customHeight="1">
      <c r="A12" s="82" t="n">
        <v>9</v>
      </c>
      <c r="B12" s="79"/>
      <c r="C12" s="19" t="s">
        <v>60</v>
      </c>
      <c r="D12" s="97" t="s">
        <v>57</v>
      </c>
      <c r="E12" s="33"/>
    </row>
    <row r="13" ht="34.5" customHeight="1">
      <c r="A13" s="82" t="n">
        <v>10</v>
      </c>
      <c r="B13" s="79"/>
      <c r="C13" s="19" t="s">
        <v>61</v>
      </c>
      <c r="D13" s="97" t="s">
        <v>62</v>
      </c>
      <c r="E13" s="33"/>
    </row>
    <row r="14" ht="87" customHeight="1">
      <c r="A14" s="82" t="n">
        <v>11</v>
      </c>
      <c r="B14" s="79"/>
      <c r="C14" s="19" t="s">
        <v>63</v>
      </c>
      <c r="D14" s="133" t="s">
        <v>64</v>
      </c>
      <c r="E14" s="33"/>
    </row>
    <row r="15" ht="29.25" customHeight="1">
      <c r="A15" s="82" t="n">
        <v>12</v>
      </c>
      <c r="B15" s="79"/>
      <c r="C15" s="19" t="s">
        <v>65</v>
      </c>
      <c r="D15" s="119" t="s">
        <v>66</v>
      </c>
      <c r="E15" s="33"/>
    </row>
    <row r="16" ht="29.25" customHeight="1">
      <c r="A16" s="82" t="n">
        <v>13</v>
      </c>
      <c r="B16" s="79"/>
      <c r="C16" s="19" t="s">
        <v>67</v>
      </c>
      <c r="D16" s="119" t="s">
        <v>68</v>
      </c>
      <c r="E16" s="33"/>
    </row>
    <row r="17" ht="169.5" customHeight="1">
      <c r="A17" s="82" t="n">
        <v>14</v>
      </c>
      <c r="B17" s="79"/>
      <c r="C17" s="19" t="s">
        <v>69</v>
      </c>
      <c r="D17" s="134" t="s">
        <v>70</v>
      </c>
      <c r="E17" s="33"/>
    </row>
    <row r="18" ht="39.75" customHeight="1">
      <c r="A18" s="82" t="n">
        <v>15</v>
      </c>
      <c r="B18" s="79"/>
      <c r="C18" s="19" t="s">
        <v>71</v>
      </c>
      <c r="D18" s="119" t="s">
        <v>72</v>
      </c>
      <c r="E18" s="33"/>
    </row>
    <row r="19" ht="29.25" customHeight="1">
      <c r="A19" s="82" t="n">
        <v>16</v>
      </c>
      <c r="B19" s="79"/>
      <c r="C19" s="19" t="s">
        <v>73</v>
      </c>
      <c r="D19" s="119" t="s">
        <v>74</v>
      </c>
      <c r="E19" s="33"/>
    </row>
    <row r="20" ht="49.5" customHeight="1">
      <c r="A20" s="82" t="n">
        <v>17</v>
      </c>
      <c r="B20" s="79"/>
      <c r="C20" s="19" t="s">
        <v>75</v>
      </c>
      <c r="D20" s="119" t="s">
        <v>76</v>
      </c>
      <c r="E20" s="33"/>
    </row>
    <row r="21" ht="49.5" customHeight="1">
      <c r="A21" s="82" t="n">
        <v>18</v>
      </c>
      <c r="B21" s="79"/>
      <c r="C21" s="19" t="s">
        <v>77</v>
      </c>
      <c r="D21" s="119" t="s">
        <v>78</v>
      </c>
      <c r="E21" s="33"/>
    </row>
    <row r="22" ht="48.75" customHeight="1">
      <c r="A22" s="82" t="n">
        <v>19</v>
      </c>
      <c r="B22" s="79"/>
      <c r="C22" s="19" t="s">
        <v>79</v>
      </c>
      <c r="D22" s="119" t="s">
        <v>80</v>
      </c>
      <c r="E22" s="33"/>
    </row>
    <row r="23" ht="75.75" customHeight="1">
      <c r="A23" s="82" t="n">
        <v>20</v>
      </c>
      <c r="B23" s="79"/>
      <c r="C23" s="19" t="s">
        <v>81</v>
      </c>
      <c r="D23" s="135" t="s">
        <v>82</v>
      </c>
      <c r="E23" s="33"/>
    </row>
    <row r="24" ht="75.75" customHeight="1">
      <c r="A24" s="82" t="n">
        <v>21</v>
      </c>
      <c r="B24" s="79"/>
      <c r="C24" s="19" t="s">
        <v>83</v>
      </c>
      <c r="D24" s="136" t="s">
        <v>84</v>
      </c>
      <c r="E24" s="33"/>
    </row>
    <row r="25" ht="75.75" customHeight="1">
      <c r="A25" s="82" t="n">
        <v>22</v>
      </c>
      <c r="B25" s="79"/>
      <c r="C25" s="19" t="s">
        <v>85</v>
      </c>
      <c r="D25" s="137" t="s">
        <v>84</v>
      </c>
      <c r="E25" s="33"/>
    </row>
    <row r="26" ht="75.75" customHeight="1">
      <c r="A26" s="82" t="n">
        <v>23</v>
      </c>
      <c r="B26" s="79"/>
      <c r="C26" s="19" t="s">
        <v>86</v>
      </c>
      <c r="D26" s="138" t="s">
        <v>84</v>
      </c>
      <c r="E26" s="33"/>
    </row>
    <row r="27" ht="29.25" customHeight="1">
      <c r="A27" s="82" t="n">
        <v>24</v>
      </c>
      <c r="B27" s="79"/>
      <c r="C27" s="19" t="s">
        <v>87</v>
      </c>
      <c r="D27" s="119" t="s">
        <v>88</v>
      </c>
      <c r="E27" s="33"/>
    </row>
    <row r="28" ht="29.25" customHeight="1">
      <c r="A28" s="82" t="n">
        <v>25</v>
      </c>
      <c r="B28" s="79"/>
      <c r="C28" s="19" t="s">
        <v>89</v>
      </c>
      <c r="D28" s="119" t="s">
        <v>90</v>
      </c>
      <c r="E28" s="33"/>
    </row>
    <row r="29" ht="29.25" customHeight="1">
      <c r="A29" s="82" t="n">
        <v>26</v>
      </c>
      <c r="B29" s="79"/>
      <c r="C29" s="19" t="s">
        <v>91</v>
      </c>
      <c r="D29" s="121" t="s">
        <v>92</v>
      </c>
      <c r="E29" s="33"/>
    </row>
    <row r="30" ht="66.75" customHeight="1">
      <c r="A30" s="82" t="n">
        <v>27</v>
      </c>
      <c r="B30" s="79"/>
      <c r="C30" s="19" t="s">
        <v>93</v>
      </c>
      <c r="D30" s="119" t="s">
        <v>94</v>
      </c>
      <c r="E30" s="33"/>
    </row>
    <row r="31" ht="29.25" customHeight="1">
      <c r="A31" s="82" t="n">
        <v>28</v>
      </c>
      <c r="B31" s="79"/>
      <c r="C31" s="19" t="s">
        <v>95</v>
      </c>
      <c r="D31" s="119" t="s">
        <v>96</v>
      </c>
      <c r="E31" s="33"/>
    </row>
    <row r="32" ht="39.75" customHeight="1">
      <c r="A32" s="82" t="n">
        <v>29</v>
      </c>
      <c r="B32" s="79"/>
      <c r="C32" s="19" t="s">
        <v>97</v>
      </c>
      <c r="D32" s="121" t="s">
        <v>98</v>
      </c>
      <c r="E32" s="33"/>
    </row>
    <row r="33" ht="29.25" customHeight="1">
      <c r="A33" s="82" t="n">
        <v>30</v>
      </c>
      <c r="B33" s="79"/>
      <c r="C33" s="19" t="s">
        <v>99</v>
      </c>
      <c r="D33" s="119" t="s">
        <v>100</v>
      </c>
      <c r="E33" s="33"/>
    </row>
    <row r="34" ht="57" customHeight="1">
      <c r="A34" s="82" t="n">
        <v>31</v>
      </c>
      <c r="B34" s="79"/>
      <c r="C34" s="19" t="s">
        <v>101</v>
      </c>
      <c r="D34" s="139" t="s">
        <v>102</v>
      </c>
      <c r="E34" s="33"/>
    </row>
    <row r="35" ht="39.75" customHeight="1">
      <c r="A35" s="82" t="n">
        <v>32</v>
      </c>
      <c r="B35" s="79"/>
      <c r="C35" s="19" t="s">
        <v>54</v>
      </c>
      <c r="D35" s="119" t="s">
        <v>103</v>
      </c>
      <c r="E35" s="33"/>
    </row>
    <row r="36" ht="75.75" customHeight="1">
      <c r="A36" s="82" t="n">
        <v>33</v>
      </c>
      <c r="B36" s="79"/>
      <c r="C36" s="19" t="s">
        <v>58</v>
      </c>
      <c r="D36" s="140" t="s">
        <v>104</v>
      </c>
      <c r="E36" s="33"/>
    </row>
    <row r="37" ht="75.75" customHeight="1">
      <c r="A37" s="82" t="n">
        <v>34</v>
      </c>
      <c r="B37" s="79"/>
      <c r="C37" s="19" t="s">
        <v>59</v>
      </c>
      <c r="D37" s="141" t="s">
        <v>104</v>
      </c>
      <c r="E37" s="33"/>
    </row>
    <row r="38" ht="75.75" customHeight="1">
      <c r="A38" s="82" t="n">
        <v>35</v>
      </c>
      <c r="B38" s="79"/>
      <c r="C38" s="19" t="s">
        <v>105</v>
      </c>
      <c r="D38" s="142" t="s">
        <v>104</v>
      </c>
      <c r="E38" s="33"/>
    </row>
    <row r="39" ht="150.75" customHeight="1">
      <c r="A39" s="82" t="n">
        <v>36</v>
      </c>
      <c r="B39" s="79"/>
      <c r="C39" s="19" t="s">
        <v>60</v>
      </c>
      <c r="D39" s="143" t="s">
        <v>106</v>
      </c>
      <c r="E39" s="33"/>
    </row>
    <row r="40" ht="29.25" customHeight="1">
      <c r="A40" s="82" t="n">
        <v>37</v>
      </c>
      <c r="B40" s="79"/>
      <c r="C40" s="19" t="s">
        <v>107</v>
      </c>
      <c r="D40" s="119" t="s">
        <v>108</v>
      </c>
      <c r="E40" s="33"/>
    </row>
    <row r="41" ht="29.25" customHeight="1">
      <c r="A41" s="82" t="n">
        <v>38</v>
      </c>
      <c r="B41" s="79"/>
      <c r="C41" s="19" t="s">
        <v>109</v>
      </c>
      <c r="D41" s="119" t="s">
        <v>110</v>
      </c>
      <c r="E41" s="33"/>
    </row>
    <row r="42" ht="29.25" customHeight="1">
      <c r="A42" s="82" t="n">
        <v>39</v>
      </c>
      <c r="B42" s="79"/>
      <c r="C42" s="19" t="s">
        <v>61</v>
      </c>
      <c r="D42" s="119" t="s">
        <v>111</v>
      </c>
      <c r="E42" s="33"/>
    </row>
    <row r="43" ht="263.25" customHeight="1">
      <c r="A43" s="82" t="n">
        <v>40</v>
      </c>
      <c r="B43" s="79"/>
      <c r="C43" s="19" t="s">
        <v>112</v>
      </c>
      <c r="D43" s="144" t="s">
        <v>113</v>
      </c>
      <c r="E43" s="33"/>
    </row>
    <row r="44" ht="29.25" customHeight="1">
      <c r="A44" s="82" t="n">
        <v>41</v>
      </c>
      <c r="B44" s="79"/>
      <c r="C44" s="19" t="s">
        <v>65</v>
      </c>
      <c r="D44" s="119" t="s">
        <v>114</v>
      </c>
      <c r="E44" s="33"/>
    </row>
  </sheetData>
  <sheetProtection insertHyperlinks="0" autoFilter="0"/>
  <mergeCells count="2">
    <mergeCell ref="B4:B44"/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115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4.25" customHeight="1" hidden="1">
      <c r="A3" s="27" t="n">
        <v>1</v>
      </c>
      <c r="B3" s="69" t="s">
        <v>43</v>
      </c>
      <c r="C3" s="70"/>
      <c r="D3" s="73"/>
      <c r="E3" s="32"/>
    </row>
    <row r="4" ht="33.29347826086957" customHeight="1" hidden="1">
      <c r="A4" s="27" t="n">
        <v>2</v>
      </c>
      <c r="B4" s="69"/>
      <c r="C4" s="70"/>
      <c r="D4" s="73"/>
      <c r="E4" s="32"/>
    </row>
    <row r="5" ht="20.25" customHeight="1">
      <c r="A5" s="30" t="n">
        <v>1</v>
      </c>
      <c r="B5" s="15" t="s">
        <v>26</v>
      </c>
      <c r="C5" s="71"/>
      <c r="D5" s="75"/>
      <c r="E5" s="77"/>
    </row>
    <row r="6" ht="20.25" customHeight="1">
      <c r="A6" s="30" t="n">
        <v>2</v>
      </c>
      <c r="B6" s="76"/>
      <c r="C6" s="71"/>
      <c r="D6" s="75"/>
      <c r="E6" s="77"/>
    </row>
    <row r="7" ht="20.25" customHeight="1">
      <c r="A7" s="30" t="n">
        <v>3</v>
      </c>
      <c r="B7" s="76"/>
      <c r="C7" s="72"/>
      <c r="D7" s="75"/>
      <c r="E7" s="31"/>
    </row>
  </sheetData>
  <sheetProtection insertHyperlinks="0" autoFilter="0"/>
  <mergeCells count="3">
    <mergeCell ref="A1:E1"/>
    <mergeCell ref="B3:B4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64" t="s">
        <v>116</v>
      </c>
      <c r="B1" s="65"/>
      <c r="C1" s="65"/>
      <c r="D1" s="66"/>
      <c r="E1" s="65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25" t="s">
        <v>25</v>
      </c>
    </row>
    <row r="3" ht="37.5" customHeight="1">
      <c r="A3" s="30" t="n">
        <v>1</v>
      </c>
      <c r="B3" s="78" t="s">
        <v>43</v>
      </c>
      <c r="C3" s="103" t="s">
        <v>117</v>
      </c>
      <c r="D3" s="119" t="s">
        <v>118</v>
      </c>
      <c r="E3" s="31"/>
    </row>
    <row r="4" ht="21.75" customHeight="1">
      <c r="A4" s="30" t="n">
        <v>1</v>
      </c>
      <c r="B4" s="15" t="s">
        <v>26</v>
      </c>
      <c r="C4" s="103" t="s">
        <v>119</v>
      </c>
      <c r="D4" s="119" t="s">
        <v>120</v>
      </c>
      <c r="E4" s="31"/>
    </row>
    <row r="5" ht="20.25" customHeight="1">
      <c r="A5" s="30" t="n">
        <v>2</v>
      </c>
      <c r="B5" s="84"/>
      <c r="C5" s="103" t="s">
        <v>121</v>
      </c>
      <c r="D5" s="119" t="s">
        <v>122</v>
      </c>
      <c r="E5" s="31"/>
    </row>
    <row r="6" ht="20.25" customHeight="1">
      <c r="A6" s="30" t="n">
        <v>3</v>
      </c>
      <c r="B6" s="84"/>
      <c r="C6" s="103" t="s">
        <v>123</v>
      </c>
      <c r="D6" s="119" t="s">
        <v>124</v>
      </c>
      <c r="E6" s="81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6.83203125" customWidth="1" style="5"/>
  </cols>
  <sheetData>
    <row r="1" ht="51" customHeight="1">
      <c r="A1" s="7" t="s">
        <v>125</v>
      </c>
      <c r="B1" s="8"/>
      <c r="C1" s="8"/>
      <c r="D1" s="66"/>
      <c r="E1" s="65"/>
    </row>
    <row r="2" ht="34.5" customHeight="1">
      <c r="A2" s="25" t="s">
        <v>5</v>
      </c>
      <c r="B2" s="25" t="s">
        <v>22</v>
      </c>
      <c r="C2" s="63" t="s">
        <v>23</v>
      </c>
      <c r="D2" s="96" t="s">
        <v>24</v>
      </c>
      <c r="E2" s="11" t="s">
        <v>25</v>
      </c>
    </row>
    <row r="3" ht="40.5" customHeight="1">
      <c r="A3" s="27" t="n">
        <v>1</v>
      </c>
      <c r="B3" s="12" t="s">
        <v>43</v>
      </c>
      <c r="C3" s="98" t="s">
        <v>126</v>
      </c>
      <c r="D3" s="119" t="s">
        <v>127</v>
      </c>
      <c r="E3" s="122"/>
    </row>
    <row r="4" ht="19.5" customHeight="1">
      <c r="A4" s="30" t="n">
        <v>1</v>
      </c>
      <c r="B4" s="93" t="s">
        <v>26</v>
      </c>
      <c r="C4" s="98" t="s">
        <v>128</v>
      </c>
      <c r="D4" s="85" t="s">
        <v>129</v>
      </c>
      <c r="E4" s="87"/>
    </row>
    <row r="5" ht="19.5" customHeight="1">
      <c r="A5" s="30" t="n">
        <v>2</v>
      </c>
      <c r="B5" s="94"/>
      <c r="C5" s="124"/>
      <c r="D5" s="85" t="s">
        <v>130</v>
      </c>
      <c r="E5" s="88"/>
    </row>
    <row r="6" ht="19.5" customHeight="1">
      <c r="A6" s="30" t="n">
        <v>3</v>
      </c>
      <c r="B6" s="94"/>
      <c r="C6" s="125"/>
      <c r="D6" s="85" t="s">
        <v>131</v>
      </c>
      <c r="E6" s="89" t="s">
        <v>132</v>
      </c>
    </row>
    <row r="7" ht="19.5" customHeight="1">
      <c r="A7" s="30" t="n">
        <v>4</v>
      </c>
      <c r="B7" s="94"/>
      <c r="C7" s="123" t="s">
        <v>133</v>
      </c>
      <c r="D7" s="85" t="s">
        <v>134</v>
      </c>
      <c r="E7" s="89"/>
    </row>
    <row r="8" ht="19.5" customHeight="1">
      <c r="A8" s="30" t="n">
        <v>5</v>
      </c>
      <c r="B8" s="94"/>
      <c r="C8" s="124"/>
      <c r="D8" s="85" t="s">
        <v>135</v>
      </c>
      <c r="E8" s="90"/>
    </row>
    <row r="9" ht="19.5" customHeight="1">
      <c r="A9" s="30" t="n">
        <v>6</v>
      </c>
      <c r="B9" s="94"/>
      <c r="C9" s="124"/>
      <c r="D9" s="91" t="s">
        <v>136</v>
      </c>
      <c r="E9" s="92"/>
    </row>
    <row r="10" ht="19.5" customHeight="1">
      <c r="A10" s="30" t="n">
        <v>7</v>
      </c>
      <c r="B10" s="94"/>
      <c r="C10" s="124"/>
      <c r="D10" s="91" t="s">
        <v>137</v>
      </c>
      <c r="E10" s="92"/>
    </row>
    <row r="11" ht="19.5" customHeight="1">
      <c r="A11" s="30" t="n">
        <v>8</v>
      </c>
      <c r="B11" s="94"/>
      <c r="C11" s="124"/>
      <c r="D11" s="91" t="s">
        <v>138</v>
      </c>
      <c r="E11" s="92"/>
    </row>
    <row r="12" ht="19.5" customHeight="1">
      <c r="A12" s="30" t="n">
        <v>9</v>
      </c>
      <c r="B12" s="94"/>
      <c r="C12" s="124"/>
      <c r="D12" s="91" t="s">
        <v>139</v>
      </c>
      <c r="E12" s="92"/>
    </row>
    <row r="13" ht="19.5" customHeight="1">
      <c r="A13" s="30" t="n">
        <v>10</v>
      </c>
      <c r="B13" s="94"/>
      <c r="C13" s="124"/>
      <c r="D13" s="91" t="s">
        <v>140</v>
      </c>
      <c r="E13" s="92"/>
    </row>
    <row r="14" ht="19.5" customHeight="1">
      <c r="A14" s="30" t="n">
        <v>11</v>
      </c>
      <c r="B14" s="94"/>
      <c r="C14" s="125"/>
      <c r="D14" s="91" t="s">
        <v>141</v>
      </c>
      <c r="E14" s="92"/>
    </row>
    <row r="15" ht="19.5" customHeight="1">
      <c r="A15" s="30" t="n">
        <v>12</v>
      </c>
      <c r="B15" s="94"/>
      <c r="C15" s="98" t="s">
        <v>142</v>
      </c>
      <c r="D15" s="91" t="s">
        <v>143</v>
      </c>
      <c r="E15" s="92"/>
    </row>
    <row r="16" ht="19.5" customHeight="1">
      <c r="A16" s="30" t="n">
        <v>13</v>
      </c>
      <c r="B16" s="94"/>
      <c r="C16" s="124"/>
      <c r="D16" s="91" t="s">
        <v>144</v>
      </c>
      <c r="E16" s="92"/>
    </row>
    <row r="17" ht="19.5" customHeight="1">
      <c r="A17" s="30" t="n">
        <v>14</v>
      </c>
      <c r="B17" s="94"/>
      <c r="C17" s="124"/>
      <c r="D17" s="91" t="s">
        <v>145</v>
      </c>
      <c r="E17" s="92"/>
    </row>
    <row r="18" ht="19.5" customHeight="1">
      <c r="A18" s="30" t="n">
        <v>15</v>
      </c>
      <c r="B18" s="94"/>
      <c r="C18" s="125"/>
      <c r="D18" s="91" t="s">
        <v>146</v>
      </c>
      <c r="E18" s="92"/>
    </row>
  </sheetData>
  <sheetProtection insertHyperlinks="0" autoFilter="0"/>
  <mergeCells count="5">
    <mergeCell ref="A1:E1"/>
    <mergeCell ref="B4:B18"/>
    <mergeCell ref="C4:C6"/>
    <mergeCell ref="C7:C14"/>
    <mergeCell ref="C15:C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147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0.5" customHeight="1">
      <c r="A3" s="30" t="n">
        <v>1</v>
      </c>
      <c r="B3" s="78" t="s">
        <v>43</v>
      </c>
      <c r="C3" s="23"/>
      <c r="D3" s="80"/>
      <c r="E3" s="3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148</v>
      </c>
      <c r="B1" s="8"/>
      <c r="C1" s="8"/>
      <c r="D1" s="9"/>
      <c r="E1" s="8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0" t="n">
        <v>1</v>
      </c>
      <c r="B3" s="120" t="s">
        <v>26</v>
      </c>
      <c r="C3" s="23" t="s">
        <v>149</v>
      </c>
      <c r="D3" s="119" t="s">
        <v>150</v>
      </c>
      <c r="E3" s="32"/>
    </row>
    <row r="4" ht="20.25" customHeight="1">
      <c r="A4" s="30" t="n">
        <v>2</v>
      </c>
      <c r="B4" s="124"/>
      <c r="C4" s="23" t="s">
        <v>151</v>
      </c>
      <c r="D4" s="119" t="s">
        <v>152</v>
      </c>
      <c r="E4" s="32"/>
    </row>
    <row r="5" ht="20.25" customHeight="1">
      <c r="A5" s="30" t="n">
        <v>3</v>
      </c>
      <c r="B5" s="124"/>
      <c r="C5" s="23" t="s">
        <v>153</v>
      </c>
      <c r="D5" s="119" t="s">
        <v>154</v>
      </c>
      <c r="E5" s="32"/>
    </row>
    <row r="6" ht="20.25" customHeight="1">
      <c r="A6" s="30" t="n">
        <v>4</v>
      </c>
      <c r="B6" s="124"/>
      <c r="C6" s="23" t="s">
        <v>155</v>
      </c>
      <c r="D6" s="119" t="s">
        <v>156</v>
      </c>
      <c r="E6" s="32"/>
    </row>
    <row r="7" ht="20.25" customHeight="1">
      <c r="A7" s="30" t="n">
        <v>5</v>
      </c>
      <c r="B7" s="124"/>
      <c r="C7" s="23" t="s">
        <v>157</v>
      </c>
      <c r="D7" s="119" t="s">
        <v>158</v>
      </c>
      <c r="E7" s="32"/>
    </row>
    <row r="8" ht="20.25" customHeight="1">
      <c r="A8" s="30" t="n">
        <v>6</v>
      </c>
      <c r="B8" s="125"/>
      <c r="C8" s="23" t="s">
        <v>159</v>
      </c>
      <c r="D8" s="119" t="s">
        <v>160</v>
      </c>
      <c r="E8" s="32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161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43</v>
      </c>
      <c r="C3" s="13"/>
      <c r="D3" s="14"/>
      <c r="E3" s="20"/>
    </row>
    <row r="4" s="26" customFormat="1" ht="25" customHeight="1">
      <c r="A4" s="10" t="n">
        <v>1</v>
      </c>
      <c r="B4" s="15" t="s">
        <v>26</v>
      </c>
      <c r="C4" s="16"/>
      <c r="D4" s="17"/>
      <c r="E4" s="21"/>
    </row>
    <row r="5" s="26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2026-04-27T17:47:18Z</dcterms:modified>
</cp:coreProperties>
</file>