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<sst xmlns="http://schemas.openxmlformats.org/spreadsheetml/2006/main">
  <si>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广东基地-数智工厂3.18.0版本迭代概览</t>
  </si>
  <si>
    <t>本次试用迭代</t>
  </si>
  <si>
    <t>基地试用周期</t>
  </si>
  <si>
    <t>10月27日-11月03日（共8天）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</si>
  <si>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</si>
  <si>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</si>
  <si>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</si>
  <si>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</si>
  <si>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</si>
  <si>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</si>
  <si>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</si>
  <si>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</si>
  <si>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</si>
  <si>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</si>
  <si>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</si>
  <si>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</si>
  <si>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</si>
  <si>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</si>
  <si>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</si>
  <si>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</si>
  <si>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</si>
  <si>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广东基地-仓储板块-2025年10月27日系统更新内容</t>
  </si>
  <si>
    <t>类型</t>
  </si>
  <si>
    <t>单据</t>
  </si>
  <si>
    <t>内容</t>
  </si>
  <si>
    <t>备注</t>
  </si>
  <si>
    <t>新增功能</t>
  </si>
  <si>
    <t>空罐收货移库</t>
  </si>
  <si>
    <t>移动逻辑仅可移动非限制物料，支持导入查询数据选择，移动后重新更新内部批次号
前置条件：仓库管理-增加仓库“仓库编码：0001-01”“仓库名：奥瑞金虚拟仓库”
使用节点：实际入库时，使用该单据进行移库到原材料库</t>
  </si>
  <si>
    <t>优化项</t>
  </si>
  <si>
    <t>原料送检记录</t>
  </si>
  <si>
    <t>1、已送检非限制状态规则优化：内容物、咖啡因、香精、白砂糖同批次30天内，增加品质检验完成后解除
2、物料同批次推送合并：内容物、咖啡因、香精、白砂糖、纸皮、热缩膜同批次送检数合计推送
3、香精、白砂糖、纸皮、热缩膜涉及到送检出库时，如果入库明细存在多条相同原厂批次时，去重取其中1条
4、空罐、顶盖送检出库时，新旧采购单节点多条相同原厂批次包号时，去重取其中1条
5、咖啡因送检所有基地不再进行送样出库
6、顶/底盖送检增加原厂批次规则判断，示例批次“1751258090A0-001 ”、“ZF2202504130-C1-001”解决此类批次合并推送数据</t>
  </si>
  <si>
    <t>原料采购单修改</t>
  </si>
  <si>
    <t>修改采购数量判断调整，“变更数量”不允许小于“已入数量”</t>
  </si>
  <si>
    <t>原料退货记录</t>
  </si>
  <si>
    <t>调整单据退货逻辑，可退数=已入库数-退货数，退货操作触发后采购订单，待入数量、已入库数相应变化</t>
  </si>
  <si>
    <t>危废管理</t>
  </si>
  <si>
    <t>危废出库单、危废入库单“数量”输入支持4位小数</t>
  </si>
  <si>
    <t>其他入库单</t>
  </si>
  <si>
    <t>开放允许选择原材料、成品物料进行入库，可用于修正原料库存数据和次品入库，注意权限只给管理人员配置，避免随意操作数据混乱</t>
  </si>
  <si>
    <t>广东基地-生产板块-2025年10月27日系统更新内容</t>
  </si>
  <si>
    <t>打码取样修正记录</t>
  </si>
  <si>
    <t>对异常的成品取样，支持修改批次和取样时间</t>
  </si>
  <si>
    <t>试机试水水罐销毁记录</t>
  </si>
  <si>
    <t>打通试机试水物料消耗</t>
  </si>
  <si>
    <t>配料内容物退库（红牛）</t>
  </si>
  <si>
    <t>支持配料把红牛物料RBMT0312、RBMT0603、RBMT0411、RBMT0000退回仓库</t>
  </si>
  <si>
    <t>配料内容物退库（战马）</t>
  </si>
  <si>
    <t>支持配料把战马物料RBMT0312、RBMT0000退回仓库</t>
  </si>
  <si>
    <t>溶糖生产工序记录</t>
  </si>
  <si>
    <t>吨糖（20001810）1：1转成液体糖（20001824）</t>
  </si>
  <si>
    <t>液体糖分发</t>
  </si>
  <si>
    <t>把0027仓库中的液体糖分发到各个车间</t>
  </si>
  <si>
    <t>液体糖转运</t>
  </si>
  <si>
    <t>把液体糖从各个车间转回0027仓库</t>
  </si>
  <si>
    <t>液体糖冲销</t>
  </si>
  <si>
    <t>把从各个车间转回0027仓库中的液体糖冲销掉（库存扣掉）</t>
  </si>
  <si>
    <t>配方箱、香精桶退库</t>
  </si>
  <si>
    <t>支持配料把物料箱、香精桶退回称料处</t>
  </si>
  <si>
    <t>异常配方箱处理</t>
  </si>
  <si>
    <t>支持称料更换配方箱中的异常物料（整个更换）</t>
  </si>
  <si>
    <t>配方箱、香精桶物料退库</t>
  </si>
  <si>
    <t>支持把配方箱中更换下来的物料进行退库处理</t>
  </si>
  <si>
    <t>配方箱、香精桶物料报废</t>
  </si>
  <si>
    <t>支持把配方箱中更换下来的物料和香精桶退回的物料进行报废处理</t>
  </si>
  <si>
    <t>配料工序记录-强化红牛</t>
  </si>
  <si>
    <t>打通各车间配料间物料消耗，涉及物料RBMT0603、RBMT0411</t>
  </si>
  <si>
    <t>广东-质量板块-2025年10月27系统更新内容</t>
  </si>
  <si>
    <t>【原料其他检验申请单】</t>
  </si>
  <si>
    <t>新增单据</t>
  </si>
  <si>
    <t>【内容物使用通知单】</t>
  </si>
  <si>
    <t>增加单据驳回仓储功能</t>
  </si>
  <si>
    <t>【成品标签标识】</t>
  </si>
  <si>
    <t>检验信息增加“通道号”字段，文本，不参与结果校验，自定义模版中要支持选取；湖北基地不显示</t>
  </si>
  <si>
    <t>【香精入厂检测】</t>
  </si>
  <si>
    <t>【热缩膜检验报告】</t>
  </si>
  <si>
    <t>【白砂糖微生物检测】</t>
  </si>
  <si>
    <t>【纸皮进货检验报告】</t>
  </si>
  <si>
    <t>【顶盖/底盖检验报告】</t>
  </si>
  <si>
    <t>【空罐信息确认单】</t>
  </si>
  <si>
    <t>【检测批号信息确认单】</t>
  </si>
  <si>
    <t>1、“异常处理”按钮只有单据状态=未确认时可以试用；使用以后勾选明细移动移除，在打码取样表中的送检状态改为“异常”；
2、异常处理时，异常描述为必填项；</t>
  </si>
  <si>
    <t>【打码取样信息表】</t>
  </si>
  <si>
    <t>增加查询条件</t>
  </si>
  <si>
    <t>基础信息和列表页增加字段“单据类型”和“原单据编号”：
1、单据类型：默认为原单据，只有拆分功能创建的单据为拆分单据；
2、原单据编号：拆分单据前的单据编号写入</t>
  </si>
  <si>
    <t>【不合格品处置单】</t>
  </si>
  <si>
    <t>优化调整：原料关联“原料质量异常”和成品关联“工序异常记录”</t>
  </si>
  <si>
    <t>【成品外检申请单】</t>
  </si>
  <si>
    <t>优化调整：4项
1、单据名称改为“成品申请单”；
2、增加"申请类型”字段，枚举值（外检、内检、复检、其他），必填；列表页也许增加此字段；
3、送检日期  改名为   申请日期，列表页字段名也需调整；
4、送检机构：只有申请类型=外检时才显示；
5、送检批数  改名为 申请批数；
6、查询条件调整：①增加条件“申请类型”；②送检日期 改名为 申请日期；</t>
  </si>
  <si>
    <t>【内容物留样记录】</t>
  </si>
  <si>
    <t>针对广东基地增加“复核重量”字段，数值两位小数，只有复核窗口和列表显示，复核确认前必填；</t>
  </si>
  <si>
    <t>列表页增加“送检来源单号”和“异常处置单号”；2、增加查询条件（复检结果、送检来源单号，异常处置单号），以及查询条件收起和展开功能</t>
  </si>
  <si>
    <t>列表页增加送检来源单号的字段显示和查询条件</t>
  </si>
  <si>
    <t>【每周食品安全周排查报告】</t>
  </si>
  <si>
    <t>本周日检查、周排查部门自查食品安全风险隐患排查情况分录中增加“来源”字段，不可手动修改，系统自动带出；</t>
  </si>
  <si>
    <t>1、列表页增加线别的显示；2、查询条件增加“线别”和“单据状态”的查询</t>
  </si>
  <si>
    <t>【福建-手部涂抹实验检验】</t>
  </si>
  <si>
    <t>优化调整2项：
1、TSA培养基配置人  改名为  M-endo培养基配置人；
2、检验标准：从细菌菌落总数≤10cfu/cm2    改为   不得检出</t>
  </si>
  <si>
    <t>【自查项目配置】</t>
  </si>
  <si>
    <t>增加“手动推送自查”按钮，该按钮主要用户弥补定时任务时效后，补充自查任务推送；</t>
  </si>
  <si>
    <t>【CIP微生物检验报告】</t>
  </si>
  <si>
    <t>清洗杀菌字段增加必填标识和校验</t>
  </si>
  <si>
    <t>【各部门-每日自查记录】</t>
  </si>
  <si>
    <t>整改图片改为非必填</t>
  </si>
  <si>
    <t>【外部审核】</t>
  </si>
  <si>
    <t>新增外审任务时，可以直接指派整改人；跳过待整改阶段，直接生成整改中的外审任务</t>
  </si>
  <si>
    <t>【每周食品安全排查报告】</t>
  </si>
  <si>
    <t>增加一个下周重点的分录，文本框</t>
  </si>
  <si>
    <t>【内容物外检申请单】</t>
  </si>
  <si>
    <t>修复仓库、样品编号、原厂批次输入框太短，信息显示不全</t>
  </si>
  <si>
    <t>【白砂糖检验报告】</t>
  </si>
  <si>
    <t>修复厂商和生产批号输入框太窄，在客户的电脑上显示不全</t>
  </si>
  <si>
    <t>【天平校准记录】</t>
  </si>
  <si>
    <t>检验信息中各点位和平均值保留小数位改为“4位”</t>
  </si>
  <si>
    <t>广东基地-设备板块-2025年10月27日系统更新内容</t>
  </si>
  <si>
    <t>月度用电占比统计表</t>
  </si>
  <si>
    <t>选择月度统计仪表，定义统计正/反向电能</t>
  </si>
  <si>
    <t>水暖工岗位记录</t>
  </si>
  <si>
    <t>增加水暖工岗位交接填写</t>
  </si>
  <si>
    <t>能源异常消息通知</t>
  </si>
  <si>
    <t>增加能源仪表“采集数据异常”和“硬件连接异常”的消息通知</t>
  </si>
  <si>
    <t>能耗日报表</t>
  </si>
  <si>
    <t>增加反向用电数据</t>
  </si>
  <si>
    <t>能耗周期统计</t>
  </si>
  <si>
    <t>仪表月报表</t>
  </si>
  <si>
    <t>能耗班次统计</t>
  </si>
  <si>
    <t>停机误时维修单</t>
  </si>
  <si>
    <t>支持批量修改“维修负责人”</t>
  </si>
  <si>
    <t>广东基地-安全板块-2025年10月27日系统更新内容</t>
  </si>
  <si>
    <t>广东基地-人事行政板块-2025年10月27日系统更新内容</t>
  </si>
  <si>
    <t>用车申请管理</t>
  </si>
  <si>
    <t>PC端-功能路径【人事行政】-&gt;【行政管理】-&gt;【用车申请】
通过提报市内/外用车申请进行审批、派车和还车的全流程</t>
  </si>
  <si>
    <t>监控系统设备巡检维修</t>
  </si>
  <si>
    <t>PC端-功能路径【人事行政】-&gt;【行政管理】-&gt;【监控系统设备巡检维修】
记录监控设备周期性巡检和维修记录情况</t>
  </si>
  <si>
    <t>公告管理</t>
  </si>
  <si>
    <t>PC端-功能路径【人事行政】-&gt;【公告管理】
新增公告支持配置审批流程和区分发布公告部门</t>
  </si>
  <si>
    <t>宿舍管理</t>
  </si>
  <si>
    <t>&lt;宿舍入住申请表&gt;批准入住时间调整</t>
  </si>
  <si>
    <t>宿舍管理单据增加住宿人员判断，没有同步到“人员档案库”中的宿舍，就不允许提交申请</t>
  </si>
  <si>
    <t>宿舍人员调动申请表房间号关联</t>
  </si>
  <si>
    <t>宿舍门牌号获取“非生产性维修-维修区域”</t>
  </si>
  <si>
    <t>&lt;人员档案库-标签信息&gt;中的"宿舍"关联入住申请/调动/退租的单据</t>
  </si>
  <si>
    <t>宿舍人员调动申请表调整后宿舍房间号自动通过安排房间号关联</t>
  </si>
  <si>
    <t>员工档案_标签信息中的宿舍，同步"入住房间"选择控件</t>
  </si>
  <si>
    <t>车辆管理</t>
  </si>
  <si>
    <t>车辆档案保养周期增加单位</t>
  </si>
  <si>
    <t>根据驾驶员信息，自动带出&lt;人员档案库&gt;中的联系电话</t>
  </si>
  <si>
    <t>根据驾驶员姓名自动获取&lt;人员档案库&gt;数据</t>
  </si>
  <si>
    <t>车辆月油耗统计表&gt;去除“充值总额（元）+油卡余额（元）</t>
  </si>
  <si>
    <t>&lt;车辆交通费用&gt;中的相关费用改成非必填</t>
  </si>
  <si>
    <t>车辆保险记录单独维护保险类型</t>
  </si>
  <si>
    <t>&lt;车辆行驶记录表&gt;行驶公里数自动计算</t>
  </si>
  <si>
    <t>车辆管理的单据人员下拉框自带模糊搜索</t>
  </si>
  <si>
    <t>广东基地-财务板块-2025年10月27日系统更新内容</t>
  </si>
  <si>
    <t>广东基地-基础板块-2025年10月27日系统更新内容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</si>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</sst>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4"/>
      <color rgb="FF000000"/>
      <name val="default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b/>
      <sz val="28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8" fillId="0" borderId="4" xfId="0" applyFont="1" applyBorder="1" applyProtection="1">
      <alignment horizontal="center" vertical="center"/>
    </xf>
    <xf numFmtId="0" fontId="10" fillId="4" borderId="4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2" fillId="0" borderId="5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9" fillId="3" borderId="4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horizontal="center" vertical="center"/>
    </xf>
    <xf numFmtId="0" fontId="10" fillId="4" borderId="0" xfId="0" applyFont="1" applyFill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10" fillId="5" borderId="0" xfId="0" applyFont="1" applyFill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4" fillId="0" borderId="2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5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0" fillId="6" borderId="4" xfId="0" applyFont="1" applyFill="1" applyBorder="1" applyProtection="1">
      <alignment horizontal="center" vertical="center"/>
    </xf>
    <xf numFmtId="0" fontId="10" fillId="7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9" fillId="9" borderId="1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10" fillId="6" borderId="2" xfId="0" applyFont="1" applyFill="1" applyBorder="1" applyProtection="1">
      <alignment horizontal="center" vertical="center"/>
    </xf>
    <xf numFmtId="0" fontId="15" fillId="0" borderId="0" xfId="0" applyFont="1">
      <alignment horizontal="general" vertical="center"/>
    </xf>
    <xf numFmtId="0" fontId="8" fillId="0" borderId="7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16" fillId="10" borderId="10" xfId="0" applyFont="1" applyFill="1" applyBorder="1" applyProtection="1">
      <alignment horizontal="center" vertical="center" wrapText="1"/>
    </xf>
    <xf numFmtId="0" fontId="16" fillId="10" borderId="1" xfId="0" applyFont="1" applyFill="1" applyBorder="1" applyProtection="1">
      <alignment horizontal="center" vertical="center" wrapText="1"/>
    </xf>
    <xf numFmtId="164" fontId="17" fillId="10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10" borderId="1" xfId="0" applyFont="1" applyFill="1" applyBorder="1" applyProtection="1">
      <alignment horizontal="left" vertical="center" wrapText="1"/>
    </xf>
    <xf numFmtId="164" fontId="20" fillId="10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10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10" borderId="10" xfId="0" applyFont="1" applyFill="1" applyBorder="1" applyProtection="1">
      <alignment horizontal="center" vertical="center" wrapText="1"/>
    </xf>
    <xf numFmtId="0" fontId="23" fillId="10" borderId="1" xfId="0" applyFont="1" applyFill="1" applyBorder="1" applyProtection="1">
      <alignment horizontal="center" vertical="center" wrapText="1"/>
    </xf>
    <xf numFmtId="0" fontId="24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26" fillId="0" borderId="13" xfId="0" applyFont="1" applyBorder="1" applyProtection="1">
      <alignment horizontal="left" vertical="center"/>
    </xf>
    <xf numFmtId="0" fontId="27" fillId="0" borderId="14" xfId="0" applyFont="1" applyBorder="1" applyProtection="1">
      <alignment horizontal="left" vertical="center"/>
    </xf>
    <xf numFmtId="0" fontId="7" fillId="2" borderId="15" xfId="0" applyFont="1" applyFill="1" applyBorder="1" applyProtection="1">
      <alignment horizontal="center" vertical="center" wrapText="1"/>
    </xf>
    <xf numFmtId="0" fontId="18" fillId="0" borderId="16" xfId="0" applyFont="1" applyBorder="1" applyProtection="1">
      <alignment horizontal="left" vertical="center"/>
    </xf>
    <xf numFmtId="0" fontId="19" fillId="10" borderId="16" xfId="0" applyFont="1" applyFill="1" applyBorder="1" applyProtection="1">
      <alignment horizontal="left" vertical="center" wrapText="1"/>
    </xf>
    <xf numFmtId="0" fontId="21" fillId="0" borderId="16" xfId="0" applyFont="1" applyBorder="1" applyProtection="1">
      <alignment horizontal="left" vertical="center"/>
    </xf>
    <xf numFmtId="0" fontId="16" fillId="3" borderId="16" xfId="0" applyFont="1" applyFill="1" applyBorder="1" applyProtection="1">
      <alignment horizontal="center" vertical="center" wrapText="1"/>
    </xf>
    <xf numFmtId="0" fontId="24" fillId="0" borderId="17" xfId="0" applyFont="1" applyBorder="1" applyProtection="1">
      <alignment horizontal="left" vertical="center"/>
    </xf>
    <xf numFmtId="0" fontId="25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13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vertical="center"/>
    </xf>
    <xf numFmtId="0" fontId="11" fillId="0" borderId="5" xfId="0" applyFont="1" applyBorder="1" applyProtection="1">
      <alignment horizontal="center" vertical="center" wrapText="1"/>
    </xf>
    <xf numFmtId="0" fontId="11" fillId="0" borderId="19" xfId="0" applyFont="1" applyBorder="1" applyProtection="1">
      <alignment horizontal="center" vertical="center"/>
    </xf>
    <xf numFmtId="0" fontId="4" fillId="0" borderId="20" xfId="0" applyFont="1" applyBorder="1" applyProtection="1">
      <alignment vertical="center"/>
    </xf>
    <xf numFmtId="0" fontId="12" fillId="0" borderId="21" xfId="0" applyFont="1" applyBorder="1" applyProtection="1">
      <alignment horizontal="center" vertical="center"/>
    </xf>
    <xf numFmtId="0" fontId="11" fillId="0" borderId="7" xfId="0" applyFont="1" applyBorder="1" applyProtection="1">
      <alignment horizontal="center" vertical="center"/>
    </xf>
    <xf numFmtId="0" fontId="4" fillId="0" borderId="2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10" fillId="5" borderId="19" xfId="0" applyFont="1" applyFill="1" applyBorder="1" applyProtection="1">
      <alignment horizontal="center" vertical="center"/>
    </xf>
    <xf numFmtId="0" fontId="4" fillId="0" borderId="23" xfId="0" applyFont="1" applyBorder="1" applyProtection="1">
      <alignment vertical="center"/>
    </xf>
    <xf numFmtId="0" fontId="11" fillId="0" borderId="1" xfId="0" applyFont="1" applyBorder="1" applyProtection="1">
      <alignment horizontal="general" vertical="center"/>
    </xf>
    <xf numFmtId="0" fontId="28" fillId="0" borderId="1" xfId="0" applyFont="1" applyBorder="1" applyProtection="1">
      <alignment horizontal="left" vertical="center"/>
    </xf>
    <xf numFmtId="0" fontId="29" fillId="10" borderId="1" xfId="0" applyFont="1" applyFill="1" applyBorder="1" applyProtection="1">
      <alignment horizontal="center" vertical="center" wrapText="1"/>
    </xf>
    <xf numFmtId="0" fontId="30" fillId="10" borderId="1" xfId="0" applyFont="1" applyFill="1" applyBorder="1" applyProtection="1">
      <alignment horizontal="center" vertical="center" wrapText="1"/>
    </xf>
    <xf numFmtId="0" fontId="31" fillId="10" borderId="16" xfId="0" applyFont="1" applyFill="1" applyBorder="1" applyProtection="1">
      <alignment horizontal="center" vertical="center" wrapText="1"/>
    </xf>
    <xf numFmtId="0" fontId="32" fillId="6" borderId="4" xfId="0" applyFont="1" applyFill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28" fillId="0" borderId="4" xfId="0" applyFont="1" applyBorder="1" applyProtection="1">
      <alignment horizontal="left" vertical="center" wrapText="1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33" fillId="0" borderId="13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7" xfId="0" applyFont="1" applyBorder="1" applyProtection="1">
      <alignment horizontal="left" vertical="center" wrapText="1"/>
    </xf>
    <xf numFmtId="0" fontId="41" fillId="0" borderId="7" xfId="0" applyFont="1" applyBorder="1" applyProtection="1">
      <alignment horizontal="left" vertical="center" wrapText="1"/>
    </xf>
    <xf numFmtId="0" fontId="42" fillId="0" borderId="7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37"/>
    <col min="4" max="4" width="11.666015625" customWidth="1" style="37"/>
    <col min="5" max="5" width="12.6650390625" customWidth="1" style="37"/>
  </cols>
  <sheetData>
    <row r="1" ht="24.75" customHeight="1">
      <c r="A1" s="60" t="s">
        <v>0</v>
      </c>
      <c r="B1" s="61"/>
      <c r="C1" s="61"/>
      <c r="D1" s="61"/>
      <c r="E1" s="79"/>
    </row>
    <row r="2" ht="18" customHeight="1">
      <c r="A2" s="62" t="s">
        <v>1</v>
      </c>
      <c r="B2" s="63"/>
      <c r="C2" s="64" t="n">
        <v>45957</v>
      </c>
      <c r="D2" s="65"/>
      <c r="E2" s="80"/>
    </row>
    <row r="3" ht="18" customHeight="1">
      <c r="A3" s="62" t="s">
        <v>2</v>
      </c>
      <c r="B3" s="63"/>
      <c r="C3" s="66" t="s">
        <v>3</v>
      </c>
      <c r="D3" s="66"/>
      <c r="E3" s="81"/>
    </row>
    <row r="4" ht="18" customHeight="1">
      <c r="A4" s="62" t="s">
        <v>4</v>
      </c>
      <c r="B4" s="63"/>
      <c r="C4" s="67" t="n">
        <v>45964</v>
      </c>
      <c r="D4" s="68"/>
      <c r="E4" s="82"/>
    </row>
    <row r="5" ht="16.5" customHeight="1">
      <c r="A5" s="69" t="s">
        <v>5</v>
      </c>
      <c r="B5" s="70" t="s">
        <v>6</v>
      </c>
      <c r="C5" s="70" t="s">
        <v>7</v>
      </c>
      <c r="D5" s="70" t="s">
        <v>8</v>
      </c>
      <c r="E5" s="83" t="s">
        <v>9</v>
      </c>
    </row>
    <row r="6" ht="13.5" customHeight="1">
      <c r="A6" s="71" t="n">
        <v>1</v>
      </c>
      <c r="B6" s="72" t="s">
        <v>10</v>
      </c>
      <c r="C6" s="100" t="n">
        <v>1</v>
      </c>
      <c r="D6" s="101" t="n">
        <v>5</v>
      </c>
      <c r="E6" s="102" t="n">
        <f>C6+D6</f>
        <v>6</v>
      </c>
    </row>
    <row r="7" ht="13.5" customHeight="1">
      <c r="A7" s="71" t="n">
        <v>2</v>
      </c>
      <c r="B7" s="72" t="s">
        <v>11</v>
      </c>
      <c r="C7" s="100" t="n">
        <v>12</v>
      </c>
      <c r="D7" s="101" t="n">
        <v>1</v>
      </c>
      <c r="E7" s="102" t="n">
        <f>C7+D7</f>
        <v>13</v>
      </c>
    </row>
    <row r="8" ht="13.5" customHeight="1">
      <c r="A8" s="71" t="n">
        <v>3</v>
      </c>
      <c r="B8" s="72" t="s">
        <v>12</v>
      </c>
      <c r="C8" s="100" t="n">
        <v>1</v>
      </c>
      <c r="D8" s="101" t="n">
        <v>27</v>
      </c>
      <c r="E8" s="102" t="n">
        <f>C8+D8</f>
        <v>28</v>
      </c>
    </row>
    <row r="9" ht="13.5" customHeight="1">
      <c r="A9" s="71" t="n">
        <v>4</v>
      </c>
      <c r="B9" s="72" t="s">
        <v>13</v>
      </c>
      <c r="C9" s="100" t="n">
        <v>3</v>
      </c>
      <c r="D9" s="101" t="n">
        <v>5</v>
      </c>
      <c r="E9" s="102" t="n">
        <f>C9+D9</f>
        <v>8</v>
      </c>
    </row>
    <row r="10" ht="13.5" customHeight="1">
      <c r="A10" s="71" t="n">
        <v>5</v>
      </c>
      <c r="B10" s="72" t="s">
        <v>14</v>
      </c>
      <c r="C10" s="100" t="n">
        <v>0</v>
      </c>
      <c r="D10" s="101" t="n">
        <v>0</v>
      </c>
      <c r="E10" s="102" t="n">
        <f>C10+D10</f>
        <v>0</v>
      </c>
    </row>
    <row r="11" ht="13.5" customHeight="1">
      <c r="A11" s="71" t="n">
        <v>6</v>
      </c>
      <c r="B11" s="72" t="s">
        <v>15</v>
      </c>
      <c r="C11" s="100" t="n">
        <v>3</v>
      </c>
      <c r="D11" s="101" t="n">
        <v>15</v>
      </c>
      <c r="E11" s="102" t="n">
        <f>C11+D11</f>
        <v>18</v>
      </c>
    </row>
    <row r="12" ht="13.5" customHeight="1">
      <c r="A12" s="71" t="n">
        <v>7</v>
      </c>
      <c r="B12" s="72" t="s">
        <v>16</v>
      </c>
      <c r="C12" s="100" t="n">
        <v>0</v>
      </c>
      <c r="D12" s="101" t="n">
        <v>0</v>
      </c>
      <c r="E12" s="102" t="n">
        <f>C12+D12</f>
        <v>0</v>
      </c>
    </row>
    <row r="13" ht="13.5" customHeight="1">
      <c r="A13" s="71" t="n">
        <v>8</v>
      </c>
      <c r="B13" s="72" t="s">
        <v>17</v>
      </c>
      <c r="C13" s="100" t="n">
        <v>0</v>
      </c>
      <c r="D13" s="101" t="n">
        <v>0</v>
      </c>
      <c r="E13" s="102" t="n">
        <f>C13+D13</f>
        <v>0</v>
      </c>
    </row>
    <row r="14" ht="13.5" customHeight="1">
      <c r="A14" s="71" t="n">
        <v>9</v>
      </c>
      <c r="B14" s="72" t="s">
        <v>9</v>
      </c>
      <c r="C14" s="100" t="n">
        <f>C7+C6+C8+C9+C11+C10+C12+C13</f>
        <v>20</v>
      </c>
      <c r="D14" s="101" t="n">
        <f>D6+D7+D8+D9+D10+D11+D12+D13</f>
        <v>53</v>
      </c>
      <c r="E14" s="102" t="n">
        <f>C14+D14</f>
        <v>73</v>
      </c>
    </row>
    <row r="15" ht="13.5" customHeight="1">
      <c r="A15" s="73" t="s">
        <v>18</v>
      </c>
      <c r="B15" s="74"/>
      <c r="C15" s="74"/>
      <c r="D15" s="74"/>
      <c r="E15" s="84"/>
    </row>
    <row r="16" ht="13.5" customHeight="1">
      <c r="A16" s="75" t="s">
        <v>19</v>
      </c>
      <c r="B16" s="76"/>
      <c r="C16" s="76"/>
      <c r="D16" s="76"/>
      <c r="E16" s="85"/>
    </row>
    <row r="17" ht="13.5" customHeight="1">
      <c r="A17" s="109" t="s">
        <v>20</v>
      </c>
      <c r="B17" s="78"/>
      <c r="C17" s="78"/>
      <c r="D17" s="78"/>
      <c r="E17" s="86"/>
    </row>
  </sheetData>
  <sheetProtection insertHyperlinks="0" autoFilter="0"/>
  <mergeCells count="10">
    <mergeCell ref="A1:E1"/>
    <mergeCell ref="A15:E15"/>
    <mergeCell ref="C4:E4"/>
    <mergeCell ref="A4:B4"/>
    <mergeCell ref="A16:E16"/>
    <mergeCell ref="A2:B2"/>
    <mergeCell ref="A17:E17"/>
    <mergeCell ref="C2:E2"/>
    <mergeCell ref="C3:E3"/>
    <mergeCell ref="A3:B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71.25" customHeight="1">
      <c r="A3" s="38" t="n">
        <v>1</v>
      </c>
      <c r="B3" s="47" t="s">
        <v>26</v>
      </c>
      <c r="C3" s="39" t="s">
        <v>27</v>
      </c>
      <c r="D3" s="110" t="s">
        <v>28</v>
      </c>
      <c r="E3" s="58"/>
    </row>
    <row r="4" ht="113.25" customHeight="1">
      <c r="A4" s="56" t="n">
        <v>1</v>
      </c>
      <c r="B4" s="48" t="s">
        <v>29</v>
      </c>
      <c r="C4" s="28" t="s">
        <v>30</v>
      </c>
      <c r="D4" s="111" t="s">
        <v>31</v>
      </c>
      <c r="E4" s="59"/>
    </row>
    <row r="5" ht="20.25" customHeight="1">
      <c r="A5" s="56" t="n">
        <v>2</v>
      </c>
      <c r="B5" s="88"/>
      <c r="C5" s="28" t="s">
        <v>32</v>
      </c>
      <c r="D5" s="42" t="s">
        <v>33</v>
      </c>
      <c r="E5" s="59"/>
    </row>
    <row r="6" ht="20.25" customHeight="1">
      <c r="A6" s="56" t="n">
        <v>3</v>
      </c>
      <c r="B6" s="88"/>
      <c r="C6" s="28" t="s">
        <v>34</v>
      </c>
      <c r="D6" s="42" t="s">
        <v>35</v>
      </c>
      <c r="E6" s="58"/>
    </row>
    <row r="7" ht="20.25" customHeight="1">
      <c r="A7" s="56" t="n">
        <v>4</v>
      </c>
      <c r="B7" s="88"/>
      <c r="C7" s="28" t="s">
        <v>36</v>
      </c>
      <c r="D7" s="42" t="s">
        <v>37</v>
      </c>
      <c r="E7" s="58"/>
    </row>
    <row r="8" ht="20.25" customHeight="1">
      <c r="A8" s="56" t="n">
        <v>5</v>
      </c>
      <c r="B8" s="88"/>
      <c r="C8" s="28" t="s">
        <v>38</v>
      </c>
      <c r="D8" s="42" t="s">
        <v>39</v>
      </c>
      <c r="E8" s="58"/>
    </row>
  </sheetData>
  <sheetProtection insertHyperlinks="0" autoFilter="0"/>
  <mergeCells count="2">
    <mergeCell ref="A1:E1"/>
    <mergeCell ref="B4:B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7"/>
    <col min="4" max="4" width="144.9990234375" customWidth="1" style="7"/>
    <col min="5" max="5" width="47.4990234375" customWidth="1" style="6"/>
    <col min="6" max="40" width="10.998046875" style="55"/>
  </cols>
  <sheetData>
    <row r="1" s="55" customFormat="1" ht="51" customHeight="1">
      <c r="A1" s="8" t="s">
        <v>40</v>
      </c>
      <c r="B1" s="9"/>
      <c r="C1" s="10"/>
      <c r="D1" s="10"/>
      <c r="E1" s="9"/>
    </row>
    <row r="2" s="55" customFormat="1" ht="23.39999999999999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s="37" customFormat="1" ht="21.899999999999995" customHeight="1">
      <c r="A3" s="56" t="n">
        <v>1</v>
      </c>
      <c r="B3" s="103" t="s">
        <v>26</v>
      </c>
      <c r="C3" s="98" t="s">
        <v>41</v>
      </c>
      <c r="D3" s="99" t="s">
        <v>42</v>
      </c>
      <c r="E3" s="22"/>
    </row>
    <row r="4" s="37" customFormat="1" ht="21.899999999999995" customHeight="1">
      <c r="A4" s="56" t="n">
        <v>2</v>
      </c>
      <c r="B4" s="103"/>
      <c r="C4" s="98" t="s">
        <v>43</v>
      </c>
      <c r="D4" s="99" t="s">
        <v>44</v>
      </c>
      <c r="E4" s="22"/>
    </row>
    <row r="5" s="37" customFormat="1" ht="21.899999999999995" customHeight="1">
      <c r="A5" s="56" t="n">
        <v>3</v>
      </c>
      <c r="B5" s="108"/>
      <c r="C5" s="98" t="s">
        <v>45</v>
      </c>
      <c r="D5" s="106" t="s">
        <v>46</v>
      </c>
      <c r="E5" s="22"/>
    </row>
    <row r="6" s="37" customFormat="1" ht="21.899999999999995" customHeight="1">
      <c r="A6" s="56" t="n">
        <v>4</v>
      </c>
      <c r="B6" s="108"/>
      <c r="C6" s="98" t="s">
        <v>47</v>
      </c>
      <c r="D6" s="106" t="s">
        <v>48</v>
      </c>
      <c r="E6" s="22"/>
    </row>
    <row r="7" s="37" customFormat="1" ht="21.899999999999995" customHeight="1">
      <c r="A7" s="56" t="n">
        <v>5</v>
      </c>
      <c r="B7" s="108"/>
      <c r="C7" s="98" t="s">
        <v>49</v>
      </c>
      <c r="D7" s="105" t="s">
        <v>50</v>
      </c>
      <c r="E7" s="22"/>
    </row>
    <row r="8" s="37" customFormat="1" ht="21.899999999999995" customHeight="1">
      <c r="A8" s="56" t="n">
        <v>6</v>
      </c>
      <c r="B8" s="108"/>
      <c r="C8" s="98" t="s">
        <v>51</v>
      </c>
      <c r="D8" s="105" t="s">
        <v>52</v>
      </c>
      <c r="E8" s="22"/>
    </row>
    <row r="9" s="37" customFormat="1" ht="21.899999999999995" customHeight="1">
      <c r="A9" s="56" t="n">
        <v>7</v>
      </c>
      <c r="B9" s="108"/>
      <c r="C9" s="98" t="s">
        <v>53</v>
      </c>
      <c r="D9" s="105" t="s">
        <v>54</v>
      </c>
      <c r="E9" s="22"/>
    </row>
    <row r="10" s="37" customFormat="1" ht="21.899999999999995" customHeight="1">
      <c r="A10" s="56" t="n">
        <v>8</v>
      </c>
      <c r="B10" s="108"/>
      <c r="C10" s="98" t="s">
        <v>55</v>
      </c>
      <c r="D10" s="105" t="s">
        <v>56</v>
      </c>
      <c r="E10" s="22"/>
    </row>
    <row r="11" s="37" customFormat="1" ht="21.899999999999995" customHeight="1">
      <c r="A11" s="56" t="n">
        <v>9</v>
      </c>
      <c r="B11" s="108"/>
      <c r="C11" s="98" t="s">
        <v>57</v>
      </c>
      <c r="D11" s="105" t="s">
        <v>58</v>
      </c>
      <c r="E11" s="22"/>
    </row>
    <row r="12" s="37" customFormat="1" ht="21.899999999999995" customHeight="1">
      <c r="A12" s="56" t="n">
        <v>10</v>
      </c>
      <c r="B12" s="108"/>
      <c r="C12" s="98" t="s">
        <v>59</v>
      </c>
      <c r="D12" s="105" t="s">
        <v>60</v>
      </c>
      <c r="E12" s="22"/>
    </row>
    <row r="13" s="37" customFormat="1" ht="21.899999999999995" customHeight="1">
      <c r="A13" s="56" t="n">
        <v>11</v>
      </c>
      <c r="B13" s="108"/>
      <c r="C13" s="98" t="s">
        <v>61</v>
      </c>
      <c r="D13" s="105" t="s">
        <v>62</v>
      </c>
      <c r="E13" s="22"/>
    </row>
    <row r="14" s="37" customFormat="1" ht="21.899999999999995" customHeight="1">
      <c r="A14" s="56" t="n">
        <v>12</v>
      </c>
      <c r="B14" s="108"/>
      <c r="C14" s="98" t="s">
        <v>63</v>
      </c>
      <c r="D14" s="105" t="s">
        <v>64</v>
      </c>
      <c r="E14" s="22"/>
    </row>
    <row r="15" s="37" customFormat="1" ht="45.150000000000006" customHeight="1">
      <c r="A15" s="56" t="n">
        <v>1</v>
      </c>
      <c r="B15" s="16" t="s">
        <v>29</v>
      </c>
      <c r="C15" s="98" t="s">
        <v>65</v>
      </c>
      <c r="D15" s="105" t="s">
        <v>66</v>
      </c>
      <c r="E15" s="104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31"/>
    <col min="2" max="2" width="25.6640625" customWidth="1" style="31"/>
    <col min="3" max="3" width="37.5" customWidth="1" style="31"/>
    <col min="4" max="4" width="99" customWidth="1" style="31"/>
    <col min="5" max="5" width="38.8330078125" customWidth="1" style="31"/>
  </cols>
  <sheetData>
    <row r="1" ht="45" customHeight="1">
      <c r="A1" s="50" t="s">
        <v>67</v>
      </c>
      <c r="B1" s="51"/>
      <c r="C1" s="51"/>
      <c r="D1" s="51"/>
      <c r="E1" s="51"/>
    </row>
    <row r="2" ht="22.5" customHeight="1">
      <c r="A2" s="12" t="s">
        <v>5</v>
      </c>
      <c r="B2" s="52" t="s">
        <v>22</v>
      </c>
      <c r="C2" s="52" t="s">
        <v>23</v>
      </c>
      <c r="D2" s="52" t="s">
        <v>24</v>
      </c>
      <c r="E2" s="52" t="s">
        <v>25</v>
      </c>
    </row>
    <row r="3" ht="24.75" customHeight="1">
      <c r="A3" s="53" t="n">
        <v>1</v>
      </c>
      <c r="B3" s="47" t="s">
        <v>26</v>
      </c>
      <c r="C3" s="90" t="s">
        <v>68</v>
      </c>
      <c r="D3" s="40" t="s">
        <v>69</v>
      </c>
      <c r="E3" s="92"/>
    </row>
    <row r="4" ht="24.75" customHeight="1">
      <c r="A4" s="95"/>
      <c r="B4" s="54"/>
      <c r="C4" s="97"/>
      <c r="D4" s="95"/>
      <c r="E4" s="91"/>
    </row>
    <row r="5" s="87" customFormat="1" ht="20.25" customHeight="1">
      <c r="A5" s="56" t="n">
        <v>1</v>
      </c>
      <c r="B5" s="48" t="s">
        <v>29</v>
      </c>
      <c r="C5" s="28" t="s">
        <v>70</v>
      </c>
      <c r="D5" s="42" t="s">
        <v>71</v>
      </c>
      <c r="E5" s="59"/>
    </row>
    <row r="6" s="87" customFormat="1" ht="38.25" customHeight="1">
      <c r="A6" s="56" t="n">
        <v>2</v>
      </c>
      <c r="B6" s="48"/>
      <c r="C6" s="28" t="s">
        <v>72</v>
      </c>
      <c r="D6" s="42" t="s">
        <v>73</v>
      </c>
      <c r="E6" s="58"/>
    </row>
    <row r="7" s="87" customFormat="1" ht="20.25" customHeight="1">
      <c r="A7" s="56" t="n">
        <v>3</v>
      </c>
      <c r="B7" s="48"/>
      <c r="C7" s="28" t="s">
        <v>74</v>
      </c>
      <c r="D7" s="42" t="s">
        <v>71</v>
      </c>
      <c r="E7" s="58"/>
    </row>
    <row r="8" s="87" customFormat="1" ht="20.25" customHeight="1">
      <c r="A8" s="56" t="n">
        <v>4</v>
      </c>
      <c r="B8" s="48"/>
      <c r="C8" s="28" t="s">
        <v>75</v>
      </c>
      <c r="D8" s="42" t="s">
        <v>71</v>
      </c>
      <c r="E8" s="58"/>
    </row>
    <row r="9" s="87" customFormat="1" ht="20.25" customHeight="1">
      <c r="A9" s="56" t="n">
        <v>5</v>
      </c>
      <c r="B9" s="48"/>
      <c r="C9" s="28" t="s">
        <v>76</v>
      </c>
      <c r="D9" s="42" t="s">
        <v>71</v>
      </c>
      <c r="E9" s="58"/>
    </row>
    <row r="10" s="87" customFormat="1" ht="20.25" customHeight="1">
      <c r="A10" s="56" t="n">
        <v>6</v>
      </c>
      <c r="B10" s="48"/>
      <c r="C10" s="28" t="s">
        <v>77</v>
      </c>
      <c r="D10" s="42" t="s">
        <v>71</v>
      </c>
      <c r="E10" s="58"/>
    </row>
    <row r="11" s="87" customFormat="1" ht="20.25" customHeight="1">
      <c r="A11" s="56" t="n">
        <v>7</v>
      </c>
      <c r="B11" s="48"/>
      <c r="C11" s="28" t="s">
        <v>78</v>
      </c>
      <c r="D11" s="42" t="s">
        <v>71</v>
      </c>
      <c r="E11" s="57"/>
    </row>
    <row r="12" s="87" customFormat="1" ht="20.25" customHeight="1">
      <c r="A12" s="56" t="n">
        <v>8</v>
      </c>
      <c r="B12" s="48"/>
      <c r="C12" s="28" t="s">
        <v>79</v>
      </c>
      <c r="D12" s="42" t="s">
        <v>71</v>
      </c>
      <c r="E12" s="57"/>
    </row>
    <row r="13" s="87" customFormat="1" ht="57" customHeight="1">
      <c r="A13" s="56" t="n">
        <v>9</v>
      </c>
      <c r="B13" s="48"/>
      <c r="C13" s="28" t="s">
        <v>80</v>
      </c>
      <c r="D13" s="112" t="s">
        <v>81</v>
      </c>
      <c r="E13" s="57"/>
    </row>
    <row r="14" s="87" customFormat="1" ht="20.25" customHeight="1">
      <c r="A14" s="56" t="n">
        <v>10</v>
      </c>
      <c r="B14" s="48"/>
      <c r="C14" s="28" t="s">
        <v>82</v>
      </c>
      <c r="D14" s="42" t="s">
        <v>83</v>
      </c>
      <c r="E14" s="57"/>
    </row>
    <row r="15" s="87" customFormat="1" ht="57" customHeight="1">
      <c r="A15" s="56" t="n">
        <v>11</v>
      </c>
      <c r="B15" s="48"/>
      <c r="C15" s="28" t="s">
        <v>78</v>
      </c>
      <c r="D15" s="113" t="s">
        <v>84</v>
      </c>
      <c r="E15" s="57"/>
    </row>
    <row r="16" s="87" customFormat="1" ht="20.25" customHeight="1">
      <c r="A16" s="56" t="n">
        <v>12</v>
      </c>
      <c r="B16" s="48"/>
      <c r="C16" s="28" t="s">
        <v>85</v>
      </c>
      <c r="D16" s="42" t="s">
        <v>86</v>
      </c>
      <c r="E16" s="57"/>
    </row>
    <row r="17" s="87" customFormat="1" ht="150.75" customHeight="1">
      <c r="A17" s="56" t="n">
        <v>13</v>
      </c>
      <c r="B17" s="48"/>
      <c r="C17" s="28" t="s">
        <v>87</v>
      </c>
      <c r="D17" s="114" t="s">
        <v>88</v>
      </c>
      <c r="E17" s="57"/>
    </row>
    <row r="18" s="87" customFormat="1" ht="38.25" customHeight="1">
      <c r="A18" s="56" t="n">
        <v>14</v>
      </c>
      <c r="B18" s="48"/>
      <c r="C18" s="28" t="s">
        <v>89</v>
      </c>
      <c r="D18" s="42" t="s">
        <v>90</v>
      </c>
      <c r="E18" s="57"/>
    </row>
    <row r="19" s="87" customFormat="1" ht="38.25" customHeight="1">
      <c r="A19" s="56" t="n">
        <v>15</v>
      </c>
      <c r="B19" s="48"/>
      <c r="C19" s="28" t="s">
        <v>78</v>
      </c>
      <c r="D19" s="42" t="s">
        <v>91</v>
      </c>
      <c r="E19" s="57"/>
    </row>
    <row r="20" s="87" customFormat="1" ht="20.25" customHeight="1">
      <c r="A20" s="56" t="n">
        <v>16</v>
      </c>
      <c r="B20" s="48"/>
      <c r="C20" s="28" t="s">
        <v>79</v>
      </c>
      <c r="D20" s="42" t="s">
        <v>92</v>
      </c>
      <c r="E20" s="57"/>
    </row>
    <row r="21" s="87" customFormat="1" ht="38.25" customHeight="1">
      <c r="A21" s="56" t="n">
        <v>17</v>
      </c>
      <c r="B21" s="48"/>
      <c r="C21" s="28" t="s">
        <v>93</v>
      </c>
      <c r="D21" s="42" t="s">
        <v>94</v>
      </c>
      <c r="E21" s="57"/>
    </row>
    <row r="22" s="87" customFormat="1" ht="20.25" customHeight="1">
      <c r="A22" s="56" t="n">
        <v>18</v>
      </c>
      <c r="B22" s="48"/>
      <c r="C22" s="28" t="s">
        <v>80</v>
      </c>
      <c r="D22" s="42" t="s">
        <v>95</v>
      </c>
      <c r="E22" s="57"/>
    </row>
    <row r="23" s="87" customFormat="1" ht="57" customHeight="1">
      <c r="A23" s="56" t="n">
        <v>19</v>
      </c>
      <c r="B23" s="48"/>
      <c r="C23" s="28" t="s">
        <v>96</v>
      </c>
      <c r="D23" s="115" t="s">
        <v>97</v>
      </c>
      <c r="E23" s="57"/>
    </row>
    <row r="24" s="87" customFormat="1" ht="20.25" customHeight="1">
      <c r="A24" s="56" t="n">
        <v>20</v>
      </c>
      <c r="B24" s="48"/>
      <c r="C24" s="28" t="s">
        <v>98</v>
      </c>
      <c r="D24" s="42" t="s">
        <v>99</v>
      </c>
      <c r="E24" s="57"/>
    </row>
    <row r="25" s="87" customFormat="1" ht="20.25" customHeight="1">
      <c r="A25" s="56" t="n">
        <v>21</v>
      </c>
      <c r="B25" s="48"/>
      <c r="C25" s="28" t="s">
        <v>100</v>
      </c>
      <c r="D25" s="42" t="s">
        <v>101</v>
      </c>
      <c r="E25" s="57"/>
    </row>
    <row r="26" s="87" customFormat="1" ht="20.25" customHeight="1">
      <c r="A26" s="56" t="n">
        <v>22</v>
      </c>
      <c r="B26" s="48"/>
      <c r="C26" s="28" t="s">
        <v>102</v>
      </c>
      <c r="D26" s="42" t="s">
        <v>103</v>
      </c>
      <c r="E26" s="57"/>
    </row>
    <row r="27" s="87" customFormat="1" ht="20.25" customHeight="1">
      <c r="A27" s="56" t="n">
        <v>23</v>
      </c>
      <c r="B27" s="48"/>
      <c r="C27" s="89" t="s">
        <v>104</v>
      </c>
      <c r="D27" s="42" t="s">
        <v>105</v>
      </c>
      <c r="E27" s="57"/>
    </row>
    <row r="28" s="87" customFormat="1" ht="20.25" customHeight="1">
      <c r="A28" s="56" t="n">
        <v>24</v>
      </c>
      <c r="B28" s="48"/>
      <c r="C28" s="28" t="s">
        <v>106</v>
      </c>
      <c r="D28" s="42" t="s">
        <v>107</v>
      </c>
      <c r="E28" s="57"/>
    </row>
    <row r="29" s="87" customFormat="1" ht="20.25" customHeight="1">
      <c r="A29" s="56" t="n">
        <v>25</v>
      </c>
      <c r="B29" s="48"/>
      <c r="C29" s="28" t="s">
        <v>108</v>
      </c>
      <c r="D29" s="42" t="s">
        <v>109</v>
      </c>
      <c r="E29" s="57"/>
    </row>
    <row r="30" s="87" customFormat="1" ht="20.25" customHeight="1">
      <c r="A30" s="56" t="n">
        <v>26</v>
      </c>
      <c r="B30" s="48"/>
      <c r="C30" s="28" t="s">
        <v>110</v>
      </c>
      <c r="D30" s="42" t="s">
        <v>111</v>
      </c>
      <c r="E30" s="57"/>
    </row>
    <row r="31" s="87" customFormat="1" ht="20.25" customHeight="1">
      <c r="A31" s="56" t="n">
        <v>27</v>
      </c>
      <c r="B31" s="48"/>
      <c r="C31" s="28" t="s">
        <v>112</v>
      </c>
      <c r="D31" s="42" t="s">
        <v>113</v>
      </c>
      <c r="E31" s="57"/>
    </row>
  </sheetData>
  <sheetProtection insertHyperlinks="0" autoFilter="0"/>
  <mergeCells count="7">
    <mergeCell ref="A1:E1"/>
    <mergeCell ref="B3:B4"/>
    <mergeCell ref="B5:B31"/>
    <mergeCell ref="C3:C4"/>
    <mergeCell ref="D3:D4"/>
    <mergeCell ref="A3:A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114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24.75" customHeight="1">
      <c r="A3" s="11" t="n">
        <v>1</v>
      </c>
      <c r="B3" s="47" t="s">
        <v>26</v>
      </c>
      <c r="C3" s="39" t="s">
        <v>115</v>
      </c>
      <c r="D3" s="42" t="s">
        <v>116</v>
      </c>
      <c r="E3" s="22"/>
    </row>
    <row r="4" ht="24.75" customHeight="1">
      <c r="A4" s="11" t="n">
        <v>2</v>
      </c>
      <c r="B4" s="47"/>
      <c r="C4" s="39" t="s">
        <v>117</v>
      </c>
      <c r="D4" s="42" t="s">
        <v>118</v>
      </c>
      <c r="E4" s="22"/>
    </row>
    <row r="5" ht="24.75" customHeight="1">
      <c r="A5" s="11" t="n">
        <v>3</v>
      </c>
      <c r="B5" s="47"/>
      <c r="C5" s="39" t="s">
        <v>119</v>
      </c>
      <c r="D5" s="42" t="s">
        <v>120</v>
      </c>
      <c r="E5" s="22"/>
    </row>
    <row r="6" ht="24.75" customHeight="1">
      <c r="A6" s="38" t="n">
        <v>1</v>
      </c>
      <c r="B6" s="48" t="s">
        <v>29</v>
      </c>
      <c r="C6" s="39" t="s">
        <v>121</v>
      </c>
      <c r="D6" s="42" t="s">
        <v>122</v>
      </c>
      <c r="E6" s="23"/>
    </row>
    <row r="7" ht="24.75" customHeight="1">
      <c r="A7" s="38" t="n">
        <v>2</v>
      </c>
      <c r="B7" s="48"/>
      <c r="C7" s="39" t="s">
        <v>123</v>
      </c>
      <c r="D7" s="42" t="s">
        <v>122</v>
      </c>
      <c r="E7" s="23"/>
    </row>
    <row r="8" ht="24.75" customHeight="1">
      <c r="A8" s="38" t="n">
        <v>3</v>
      </c>
      <c r="B8" s="48"/>
      <c r="C8" s="39" t="s">
        <v>124</v>
      </c>
      <c r="D8" s="42" t="s">
        <v>122</v>
      </c>
      <c r="E8" s="23"/>
    </row>
    <row r="9" ht="24.75" customHeight="1">
      <c r="A9" s="38" t="n">
        <v>4</v>
      </c>
      <c r="B9" s="48"/>
      <c r="C9" s="39" t="s">
        <v>125</v>
      </c>
      <c r="D9" s="42" t="s">
        <v>122</v>
      </c>
      <c r="E9" s="23"/>
    </row>
    <row r="10" ht="24.75" customHeight="1">
      <c r="A10" s="38" t="n">
        <v>5</v>
      </c>
      <c r="B10" s="49"/>
      <c r="C10" s="39" t="s">
        <v>126</v>
      </c>
      <c r="D10" s="42" t="s">
        <v>127</v>
      </c>
      <c r="E10" s="22"/>
    </row>
  </sheetData>
  <sheetProtection insertHyperlinks="0" autoFilter="0"/>
  <mergeCells count="3">
    <mergeCell ref="B6:B10"/>
    <mergeCell ref="A1:E1"/>
    <mergeCell ref="B3:B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32031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128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14.25" customHeight="1">
      <c r="A3" s="56" t="n">
        <v>1</v>
      </c>
      <c r="B3" s="33" t="s">
        <v>26</v>
      </c>
      <c r="C3" s="45"/>
      <c r="D3" s="42"/>
      <c r="E3" s="57"/>
    </row>
    <row r="4" ht="14.25" customHeight="1">
      <c r="A4" s="56" t="n">
        <v>2</v>
      </c>
      <c r="B4" s="5"/>
      <c r="C4" s="45"/>
      <c r="D4" s="42"/>
      <c r="E4" s="57"/>
    </row>
    <row r="5" ht="14.25" customHeight="1">
      <c r="A5" s="56" t="n">
        <v>3</v>
      </c>
      <c r="B5" s="5"/>
      <c r="C5" s="45"/>
      <c r="D5" s="42"/>
      <c r="E5" s="57"/>
    </row>
    <row r="6" ht="14.25" customHeight="1">
      <c r="A6" s="56" t="n">
        <v>4</v>
      </c>
      <c r="B6" s="5"/>
      <c r="C6" s="45"/>
      <c r="D6" s="46"/>
      <c r="E6" s="57"/>
    </row>
    <row r="7" ht="14.25" customHeight="1">
      <c r="A7" s="56" t="n">
        <v>5</v>
      </c>
      <c r="B7" s="5"/>
      <c r="C7" s="45"/>
      <c r="D7" s="42"/>
      <c r="E7" s="57"/>
    </row>
    <row r="8" ht="14.25" customHeight="1">
      <c r="A8" s="56" t="n">
        <v>1</v>
      </c>
      <c r="B8" s="35" t="s">
        <v>29</v>
      </c>
      <c r="C8" s="45"/>
      <c r="D8" s="46"/>
      <c r="E8" s="57"/>
    </row>
    <row r="9" ht="14.25" customHeight="1">
      <c r="A9" s="56" t="n">
        <v>2</v>
      </c>
      <c r="B9" s="5"/>
      <c r="C9" s="45"/>
      <c r="D9" s="42"/>
      <c r="E9" s="57"/>
    </row>
    <row r="10" ht="14.25" customHeight="1">
      <c r="A10" s="56" t="n">
        <v>3</v>
      </c>
      <c r="B10" s="5"/>
      <c r="C10" s="45"/>
      <c r="D10" s="42"/>
      <c r="E10" s="57"/>
    </row>
    <row r="11" ht="14.25" customHeight="1">
      <c r="A11" s="56" t="n">
        <v>4</v>
      </c>
      <c r="B11" s="5"/>
      <c r="C11" s="45"/>
      <c r="D11" s="42"/>
      <c r="E11" s="57"/>
    </row>
    <row r="12" ht="14.25" customHeight="1">
      <c r="A12" s="56" t="n">
        <v>5</v>
      </c>
      <c r="B12" s="5"/>
      <c r="C12" s="45"/>
      <c r="D12" s="42"/>
      <c r="E12" s="57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1.6640625" customWidth="1" style="6"/>
  </cols>
  <sheetData>
    <row r="1" ht="51" customHeight="1">
      <c r="A1" s="8" t="s">
        <v>129</v>
      </c>
      <c r="B1" s="9"/>
      <c r="C1" s="9"/>
      <c r="D1" s="10"/>
      <c r="E1" s="9"/>
    </row>
    <row r="2" ht="34.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s="31" customFormat="1" ht="37.5" customHeight="1">
      <c r="A3" s="38" t="n">
        <v>1</v>
      </c>
      <c r="B3" s="13" t="s">
        <v>26</v>
      </c>
      <c r="C3" s="93" t="s">
        <v>130</v>
      </c>
      <c r="D3" s="116" t="s">
        <v>131</v>
      </c>
      <c r="E3" s="58"/>
    </row>
    <row r="4" s="31" customFormat="1" ht="37.5" customHeight="1">
      <c r="A4" s="38" t="n">
        <v>2</v>
      </c>
      <c r="B4" s="41"/>
      <c r="C4" s="93" t="s">
        <v>132</v>
      </c>
      <c r="D4" s="117" t="s">
        <v>133</v>
      </c>
      <c r="E4" s="58"/>
    </row>
    <row r="5" s="31" customFormat="1" ht="37.5" customHeight="1">
      <c r="A5" s="38" t="n">
        <v>3</v>
      </c>
      <c r="B5" s="41"/>
      <c r="C5" s="93" t="s">
        <v>134</v>
      </c>
      <c r="D5" s="118" t="s">
        <v>135</v>
      </c>
      <c r="E5" s="58"/>
    </row>
    <row r="6" s="37" customFormat="1" ht="37.5" customHeight="1">
      <c r="A6" s="56" t="n">
        <v>1</v>
      </c>
      <c r="B6" s="96" t="s">
        <v>29</v>
      </c>
      <c r="C6" s="43" t="s">
        <v>136</v>
      </c>
      <c r="D6" s="29" t="s">
        <v>137</v>
      </c>
      <c r="E6" s="44"/>
    </row>
    <row r="7" s="37" customFormat="1" ht="37.5" customHeight="1">
      <c r="A7" s="56" t="n">
        <v>2</v>
      </c>
      <c r="B7" s="94"/>
      <c r="C7" s="107"/>
      <c r="D7" s="29" t="s">
        <v>138</v>
      </c>
      <c r="E7" s="44"/>
    </row>
    <row r="8" s="37" customFormat="1" ht="37.5" customHeight="1">
      <c r="A8" s="56" t="n">
        <v>3</v>
      </c>
      <c r="B8" s="94"/>
      <c r="C8" s="107"/>
      <c r="D8" s="29" t="s">
        <v>139</v>
      </c>
      <c r="E8" s="44"/>
    </row>
    <row r="9" s="37" customFormat="1" ht="37.5" customHeight="1">
      <c r="A9" s="56" t="n">
        <v>4</v>
      </c>
      <c r="B9" s="94"/>
      <c r="C9" s="107"/>
      <c r="D9" s="29" t="s">
        <v>140</v>
      </c>
      <c r="E9" s="44"/>
    </row>
    <row r="10" s="31" customFormat="1" ht="37.5" customHeight="1">
      <c r="A10" s="56" t="n">
        <v>5</v>
      </c>
      <c r="B10" s="94"/>
      <c r="C10" s="107"/>
      <c r="D10" s="29" t="s">
        <v>141</v>
      </c>
      <c r="E10" s="44"/>
    </row>
    <row r="11" s="31" customFormat="1" ht="37.5" customHeight="1">
      <c r="A11" s="56" t="n">
        <v>6</v>
      </c>
      <c r="B11" s="94"/>
      <c r="C11" s="107"/>
      <c r="D11" s="29" t="s">
        <v>142</v>
      </c>
      <c r="E11" s="44"/>
    </row>
    <row r="12" s="31" customFormat="1" ht="37.5" customHeight="1">
      <c r="A12" s="56" t="n">
        <v>7</v>
      </c>
      <c r="B12" s="94"/>
      <c r="C12" s="95"/>
      <c r="D12" s="29" t="s">
        <v>143</v>
      </c>
      <c r="E12" s="44"/>
    </row>
    <row r="13" s="31" customFormat="1" ht="37.5" customHeight="1">
      <c r="A13" s="56" t="n">
        <v>8</v>
      </c>
      <c r="B13" s="94"/>
      <c r="C13" s="43" t="s">
        <v>144</v>
      </c>
      <c r="D13" s="29" t="s">
        <v>145</v>
      </c>
      <c r="E13" s="44"/>
    </row>
    <row r="14" s="31" customFormat="1" ht="37.5" customHeight="1">
      <c r="A14" s="56" t="n">
        <v>9</v>
      </c>
      <c r="B14" s="94"/>
      <c r="C14" s="107"/>
      <c r="D14" s="29" t="s">
        <v>146</v>
      </c>
      <c r="E14" s="44"/>
    </row>
    <row r="15" s="31" customFormat="1" ht="37.5" customHeight="1">
      <c r="A15" s="56" t="n">
        <v>10</v>
      </c>
      <c r="B15" s="94"/>
      <c r="C15" s="107"/>
      <c r="D15" s="29" t="s">
        <v>147</v>
      </c>
      <c r="E15" s="44"/>
    </row>
    <row r="16" ht="37.5" customHeight="1">
      <c r="A16" s="56" t="n">
        <v>11</v>
      </c>
      <c r="B16" s="94"/>
      <c r="C16" s="107"/>
      <c r="D16" s="29" t="s">
        <v>148</v>
      </c>
      <c r="E16" s="44"/>
    </row>
    <row r="17" ht="37.5" customHeight="1">
      <c r="A17" s="56" t="n">
        <v>12</v>
      </c>
      <c r="B17" s="94"/>
      <c r="C17" s="107"/>
      <c r="D17" s="29" t="s">
        <v>149</v>
      </c>
      <c r="E17" s="44"/>
    </row>
    <row r="18" ht="37.5" customHeight="1">
      <c r="A18" s="56" t="n">
        <v>13</v>
      </c>
      <c r="B18" s="94"/>
      <c r="C18" s="107"/>
      <c r="D18" s="29" t="s">
        <v>150</v>
      </c>
      <c r="E18" s="44"/>
    </row>
    <row r="19" ht="37.5" customHeight="1">
      <c r="A19" s="56" t="n">
        <v>14</v>
      </c>
      <c r="B19" s="94"/>
      <c r="C19" s="107"/>
      <c r="D19" s="29" t="s">
        <v>151</v>
      </c>
      <c r="E19" s="44"/>
    </row>
    <row r="20" ht="37.5" customHeight="1">
      <c r="A20" s="56" t="n">
        <v>15</v>
      </c>
      <c r="B20" s="97"/>
      <c r="C20" s="95"/>
      <c r="D20" s="29" t="s">
        <v>152</v>
      </c>
      <c r="E20" s="44"/>
    </row>
  </sheetData>
  <sheetProtection insertHyperlinks="0" autoFilter="0"/>
  <mergeCells count="5">
    <mergeCell ref="A1:E1"/>
    <mergeCell ref="B3:B5"/>
    <mergeCell ref="C6:C12"/>
    <mergeCell ref="C13:C20"/>
    <mergeCell ref="B6:B2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153</v>
      </c>
      <c r="B1" s="9"/>
      <c r="C1" s="9"/>
      <c r="D1" s="10"/>
      <c r="E1" s="9"/>
    </row>
    <row r="2" ht="26.25" customHeight="1">
      <c r="A2" s="32" t="s">
        <v>5</v>
      </c>
      <c r="B2" s="32" t="s">
        <v>22</v>
      </c>
      <c r="C2" s="32" t="s">
        <v>23</v>
      </c>
      <c r="D2" s="32" t="s">
        <v>24</v>
      </c>
      <c r="E2" s="32" t="s">
        <v>25</v>
      </c>
    </row>
    <row r="3" ht="14.25" customHeight="1">
      <c r="A3" s="38" t="n">
        <v>1</v>
      </c>
      <c r="B3" s="33" t="s">
        <v>26</v>
      </c>
      <c r="C3" s="39"/>
      <c r="D3" s="42"/>
      <c r="E3" s="58"/>
    </row>
    <row r="4" ht="14.25" customHeight="1">
      <c r="A4" s="38" t="n">
        <v>2</v>
      </c>
      <c r="B4" s="34"/>
      <c r="C4" s="39"/>
      <c r="D4" s="42"/>
      <c r="E4" s="57"/>
    </row>
    <row r="5" ht="14.25" customHeight="1">
      <c r="A5" s="38" t="n">
        <v>3</v>
      </c>
      <c r="B5" s="34"/>
      <c r="C5" s="39"/>
      <c r="D5" s="42"/>
      <c r="E5" s="57"/>
    </row>
    <row r="6" ht="14.25" customHeight="1">
      <c r="A6" s="38" t="n">
        <v>1</v>
      </c>
      <c r="B6" s="35" t="s">
        <v>29</v>
      </c>
      <c r="C6" s="39"/>
      <c r="D6" s="42"/>
      <c r="E6" s="57"/>
    </row>
    <row r="7" ht="14.25" customHeight="1">
      <c r="A7" s="38" t="n">
        <v>2</v>
      </c>
      <c r="B7" s="36"/>
      <c r="C7" s="39"/>
      <c r="D7" s="42"/>
      <c r="E7" s="57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154</v>
      </c>
      <c r="B1" s="9"/>
      <c r="C1" s="9"/>
      <c r="D1" s="10"/>
      <c r="E1" s="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24" t="n">
        <v>1</v>
      </c>
      <c r="B3" s="25" t="s">
        <v>26</v>
      </c>
      <c r="C3" s="26"/>
      <c r="D3" s="27"/>
      <c r="E3" s="30"/>
    </row>
    <row r="4" ht="40.5" customHeight="1">
      <c r="A4" s="11" t="n">
        <v>1</v>
      </c>
      <c r="B4" s="16" t="s">
        <v>29</v>
      </c>
      <c r="C4" s="28"/>
      <c r="D4" s="29"/>
      <c r="E4" s="2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21"/>
    </row>
    <row r="4" s="37" customFormat="1" ht="25" customHeight="1">
      <c r="A4" s="11" t="n">
        <v>1</v>
      </c>
      <c r="B4" s="16" t="s">
        <v>29</v>
      </c>
      <c r="C4" s="17"/>
      <c r="D4" s="18"/>
      <c r="E4" s="22"/>
    </row>
    <row r="5" s="37" customFormat="1" ht="25" customHeight="1">
      <c r="A5" s="11" t="n">
        <v>2</v>
      </c>
      <c r="B5" s="16"/>
      <c r="C5" s="17"/>
      <c r="D5" s="18"/>
      <c r="E5" s="22"/>
    </row>
    <row r="6" ht="25" customHeight="1">
      <c r="A6" s="11" t="n">
        <v>3</v>
      </c>
      <c r="B6" s="16"/>
      <c r="C6" s="17"/>
      <c r="D6" s="19"/>
      <c r="E6" s="22"/>
    </row>
    <row r="7" ht="25" customHeight="1" hidden="1">
      <c r="A7" s="11" t="n">
        <v>4</v>
      </c>
      <c r="B7" s="16"/>
      <c r="C7" s="20"/>
      <c r="D7" s="18"/>
      <c r="E7" s="22"/>
    </row>
    <row r="8" ht="25" customHeight="1" hidden="1">
      <c r="A8" s="11" t="n">
        <v>5</v>
      </c>
      <c r="B8" s="16"/>
      <c r="C8" s="17"/>
      <c r="D8" s="18"/>
      <c r="E8" s="22"/>
    </row>
    <row r="9" ht="25" customHeight="1" hidden="1">
      <c r="A9" s="11" t="n">
        <v>6</v>
      </c>
      <c r="B9" s="16"/>
      <c r="C9" s="20"/>
      <c r="D9" s="18"/>
      <c r="E9" s="23"/>
    </row>
    <row r="10" ht="25" customHeight="1" hidden="1">
      <c r="A10" s="11" t="n">
        <v>7</v>
      </c>
      <c r="B10" s="16"/>
      <c r="C10" s="20"/>
      <c r="D10" s="18"/>
      <c r="E10" s="22"/>
    </row>
    <row r="11" ht="25" customHeight="1" hidden="1">
      <c r="A11" s="11" t="n">
        <v>8</v>
      </c>
      <c r="B11" s="16"/>
      <c r="C11" s="20"/>
      <c r="D11" s="18"/>
      <c r="E11" s="22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2025-10-27T19:20:25Z</dcterms:modified>
</cp:coreProperties>
</file>