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<sst xmlns="http://schemas.openxmlformats.org/spreadsheetml/2006/main">
  <si>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福建基地-数智工厂3.29.0版本迭代概览</t>
  </si>
  <si>
    <t>本次试用迭代</t>
  </si>
  <si>
    <t>基地试用周期</t>
  </si>
  <si>
    <t>01月26日-02月02日（共8天）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</si>
  <si>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</si>
  <si>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</si>
  <si>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</si>
  <si>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</si>
  <si>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</si>
  <si>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</si>
  <si>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</si>
  <si>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</si>
  <si>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</si>
  <si>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</si>
  <si>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</si>
  <si>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</si>
  <si>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</si>
  <si>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</si>
  <si>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</si>
  <si>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</si>
  <si>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</si>
  <si>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福建基地-仓储板块-2026年01月26日系统更新内容</t>
  </si>
  <si>
    <t>类型</t>
  </si>
  <si>
    <t>单据</t>
  </si>
  <si>
    <t>内容</t>
  </si>
  <si>
    <t>备注</t>
  </si>
  <si>
    <t>新增功能</t>
  </si>
  <si>
    <t>备件退库单</t>
  </si>
  <si>
    <t>针对备件领用单的退库单</t>
  </si>
  <si>
    <t>成本调整</t>
  </si>
  <si>
    <t>新增单据调整仓库库存移动平均价，该单据为特殊单据，适用于修正数据</t>
  </si>
  <si>
    <t>优化项</t>
  </si>
  <si>
    <t>充电间蒸馏水记录</t>
  </si>
  <si>
    <t>优化增加车间选择</t>
  </si>
  <si>
    <t>出入库明细报表</t>
  </si>
  <si>
    <t>针对生产模块、品质模块相关单据，优化增加跳转链接</t>
  </si>
  <si>
    <t>补码申请单</t>
  </si>
  <si>
    <t>单据上签字，通过审批流配置，审批流程节点对应的顺序：1、化验员签字  2、生产主管签字   3、仓管员签字，注意审批流配置按该顺序配置对应</t>
  </si>
  <si>
    <t>抽检标准配</t>
  </si>
  <si>
    <t>固定抽检类型增加上下浮动配置，例如湖北热熔胶，填写的值需要浮动范围</t>
  </si>
  <si>
    <t>入库冲销</t>
  </si>
  <si>
    <t>采购入库单和原料入库单，增加更新平均价。当冲销后数量变化，重新计算平均单价
平均价含税（库存成本价含税）=（系统库存数*系系统库存当前平均价含税-冲销出库数*入库采购价含税）/（系统库存数-冲销出库数）
平均价含税（库存成本价不含税）=（系统库存数*系系统库存当前平均价去税-冲销出库数*入库采购价去税）/（系统库存数-冲销出库数）</t>
  </si>
  <si>
    <t>库位产线变更单</t>
  </si>
  <si>
    <t>审批流条件优化，增加条件：业务类型，适用于原料库、在线库相关单据配置不同部门流程</t>
  </si>
  <si>
    <t>叉车月度检查记录</t>
  </si>
  <si>
    <t>批量选择正常异常</t>
  </si>
  <si>
    <t>成品-出库管理</t>
  </si>
  <si>
    <t>优化新增【复检出库】类型</t>
  </si>
  <si>
    <t>仓库安全检查表</t>
  </si>
  <si>
    <t>福建基地-生产板块-2026年01月26日系统更新内容</t>
  </si>
  <si>
    <t>拆包工序</t>
  </si>
  <si>
    <t>选择空罐时，选择弹窗中增加“厂商”</t>
  </si>
  <si>
    <t>灌装工序</t>
  </si>
  <si>
    <t>选择顶盖时，选择弹窗中增加“厂商”</t>
  </si>
  <si>
    <t>热缩工序</t>
  </si>
  <si>
    <t>选择热缩膜时，选择弹窗中增加“厂商”</t>
  </si>
  <si>
    <t>包装工序</t>
  </si>
  <si>
    <t>选择纸皮时，选择弹窗中增加“厂商”</t>
  </si>
  <si>
    <t>码垛工序</t>
  </si>
  <si>
    <t>选择胶带时，选择弹窗中增加“厂商”</t>
  </si>
  <si>
    <t>VB12领用移库</t>
  </si>
  <si>
    <t>单据内增加“供应商”、“厂商”</t>
  </si>
  <si>
    <t>物料称重</t>
  </si>
  <si>
    <t>试机试水水罐销毁记录</t>
  </si>
  <si>
    <t>增加柠檬酸库存消耗</t>
  </si>
  <si>
    <t>香精称重</t>
  </si>
  <si>
    <t>配料工序记录</t>
  </si>
  <si>
    <t>选择白砂糖时，选择弹窗中增加“供应商”、“厂商”</t>
  </si>
  <si>
    <t xml:space="preserve">          </t>
  </si>
  <si>
    <t>福建基地-质量板块-2026年01月26系统更新内容</t>
  </si>
  <si>
    <t>留样地点管理</t>
  </si>
  <si>
    <t>新增基础信息</t>
  </si>
  <si>
    <t>福建-空气沉降检验报告</t>
  </si>
  <si>
    <t>生产状态改为非必填</t>
  </si>
  <si>
    <t>福建-内审任务管理</t>
  </si>
  <si>
    <t>内审人员分录增加”角色“列，第一行默认负责人，其他行默认为组员不可修改</t>
  </si>
  <si>
    <t>VB12出入库记录</t>
  </si>
  <si>
    <t>增加厂商字段，多个是用逗号隔开</t>
  </si>
  <si>
    <t>检测批号信息确认单</t>
  </si>
  <si>
    <t>编辑页面增加删除按钮；</t>
  </si>
  <si>
    <t>公司级周排查问题清单</t>
  </si>
  <si>
    <t>列表内的操作按钮增加按钮权限</t>
  </si>
  <si>
    <t>生产基地KPI考核指标</t>
  </si>
  <si>
    <t>1、成品一次合格率（%）项目的实际完成 改为实时查询，并且自动判断是否达标；2、成品一次合格率（%）项目的实际完成的编辑按钮取消掉</t>
  </si>
  <si>
    <t>工序控制报告</t>
  </si>
  <si>
    <t>红牛-普通型的批号第五位的校验从提交时校验   改为  输入完失焦时就触发校验</t>
  </si>
  <si>
    <t>理化及微生物检验报告</t>
  </si>
  <si>
    <t>增加预警项目“最低液位预警、最高重量预警、最低重量”</t>
  </si>
  <si>
    <t>工序卷封调机单</t>
  </si>
  <si>
    <t>增加自定义导出功能</t>
  </si>
  <si>
    <t>工序卷封复检单</t>
  </si>
  <si>
    <t>增加自定义模版导出功能</t>
  </si>
  <si>
    <t>手部涂抹实验</t>
  </si>
  <si>
    <t>检验结论取消必填标识，改为提交前校验必填，保存时无需校验</t>
  </si>
  <si>
    <t>红牛成品检验结果</t>
  </si>
  <si>
    <t>列表页增加“批次”显示，发货信息存在多个不同批次时，用“/”拼接显示</t>
  </si>
  <si>
    <t>成品发货通知单</t>
  </si>
  <si>
    <t>成品返工单</t>
  </si>
  <si>
    <t>返工人员从最大3人改成8人</t>
  </si>
  <si>
    <t>增加查询条件“批号”</t>
  </si>
  <si>
    <t>其他仪器使用记录</t>
  </si>
  <si>
    <t>增加字段“使用地点”；非必填，文本框</t>
  </si>
  <si>
    <t>工序卷封检测报告</t>
  </si>
  <si>
    <t>导入改成样品的卷封导入一样支持选取区间进行导入</t>
  </si>
  <si>
    <t>每日食品安全总报</t>
  </si>
  <si>
    <t>“作废”按钮点击以后增加二次确认窗口</t>
  </si>
  <si>
    <t>内容物留样记录</t>
  </si>
  <si>
    <t>新增备注字段，列表页和复核窗口都需要显示</t>
  </si>
  <si>
    <t>停机及CIP检测项目</t>
  </si>
  <si>
    <t>检测状态=部分检测的单据也需要可以删除</t>
  </si>
  <si>
    <t>定期CIP检测项目</t>
  </si>
  <si>
    <t>开机确认单</t>
  </si>
  <si>
    <t>糖度的检测值改为数值保留1位小数，酸度的检测值改为数值保留两位小数，UV值的检测值改为数值保留3位小数</t>
  </si>
  <si>
    <t>1、新增/详情/列表页增加字段：CIP类型（枚举值：10天CIP、停机CIP），
2、增加查询条件：CIP类型、CIP项目
3、糖度的检测值改为数值保留1位小数，酸度的检测值改为数值保留两位小数，UV值的检测值改为数值保留3位小数</t>
  </si>
  <si>
    <t>工序控制检验</t>
  </si>
  <si>
    <t>湖北基地也需要开通糖度、pH、液位  内压的录入调整功能</t>
  </si>
  <si>
    <t>空罐卷封检验报告</t>
  </si>
  <si>
    <t>蓝点尺寸  字段湖北基地显示名称为 “蓝点质量”</t>
  </si>
  <si>
    <t>VB12称重记录</t>
  </si>
  <si>
    <t>自定义模版中批号字段  改名为 “内部批次”；另外增加“原厂批次”的字段配置</t>
  </si>
  <si>
    <t>内容物外检单</t>
  </si>
  <si>
    <t>1、检定结果  名称调整为  检验结果 ，列表页，执行窗口、详情页面三处都需要修改；
2、执行窗口的费用  改为  非必填；</t>
  </si>
  <si>
    <t>外检机构管理</t>
  </si>
  <si>
    <t>现在仅能一个一个上传文件，需要上传时支持文件多选，批量上传。</t>
  </si>
  <si>
    <t>电子天平、电子称目录</t>
  </si>
  <si>
    <t>增加“仪器编号”字段显示，数据来源根据“所选仪器带入”</t>
  </si>
  <si>
    <t>空气沉降检验单</t>
  </si>
  <si>
    <t>测点结果的单位和 区域结果单位 CFU/m³ 调整为 CFU/皿</t>
  </si>
  <si>
    <t>产品质量跟踪报告</t>
  </si>
  <si>
    <t>增加“节日无需检测”功能</t>
  </si>
  <si>
    <t>红牛空罐信息确认单</t>
  </si>
  <si>
    <t>1、列表页增加“单据编号”字段显示；
2、包号显示位置调整到生产批号后面；
3、增加“单据编号”查询条件；</t>
  </si>
  <si>
    <t>各部门-周排查记录</t>
  </si>
  <si>
    <t>自查信息增加“删除”操作，只有提交前可以使用</t>
  </si>
  <si>
    <t>各部门-每日自查记录</t>
  </si>
  <si>
    <t>1、返工产品说明中增加“隔离日期”字段，列表页也需要显示；数据来源隔离单推送生成
2、列表页增加“返工时间、隔离日期、空罐线别（取原料信息的厂线）、其他问题罐数”显示；
3、增加“勾选导出”按钮：根据所勾选单据进行导出，导出内容为列表显示内容，一个单据一行；导出表格名称为“成品返工单-年月日”</t>
  </si>
  <si>
    <t>成品留样单</t>
  </si>
  <si>
    <t>留样地点和柜号从文本框改为 选取基础信息“留样地点管理”</t>
  </si>
  <si>
    <t>小程序-内容物外检申请单</t>
  </si>
  <si>
    <t>小程序增加此单据的消息推送和在线审批功能</t>
  </si>
  <si>
    <t>小程序-原料其它检验申请单</t>
  </si>
  <si>
    <t>小程序-成品申请单</t>
  </si>
  <si>
    <t>福建基地-设备板块-2026年01月26日系统更新内容</t>
  </si>
  <si>
    <t>能源统计报表</t>
  </si>
  <si>
    <t>"抄表日期"支持选择[年月日-时分]</t>
  </si>
  <si>
    <t>各项能源分组统计表</t>
  </si>
  <si>
    <t>设备采集明细</t>
  </si>
  <si>
    <t>增加按“采集时间”筛选数据，支持[年月日-时分秒]</t>
  </si>
  <si>
    <t>停机误时维修单</t>
  </si>
  <si>
    <t>审批时，驳回需要输入原因，并在操作日志中体现</t>
  </si>
  <si>
    <t>重大意见分析改善</t>
  </si>
  <si>
    <t>机台责任划分</t>
  </si>
  <si>
    <t>新增字段"岗位"、"产线"</t>
  </si>
  <si>
    <t>福建基地-安全板块-2026年01月26日系统更新内容</t>
  </si>
  <si>
    <t>液位检测仪监测记录表</t>
  </si>
  <si>
    <t>1、优化增加反审按钮
2、审批流消息通知增加跳转详情链接</t>
  </si>
  <si>
    <t>隐患上报</t>
  </si>
  <si>
    <t>当不采纳时，发送消息通知给制单人</t>
  </si>
  <si>
    <t>安全隐患整改</t>
  </si>
  <si>
    <t>1、优化新增列表可看到“当前处理人”
2、驳回后，消息通知到整改人、实施人、处理部门负责人
3、暂不处理时，整改措施文案提示，填写临时处理措施或不整改原因
4、增加导出数据按钮</t>
  </si>
  <si>
    <t>消防器材台账</t>
  </si>
  <si>
    <t>1、针对资产档案是否配置了点巡检计划显示，可筛选未配置点巡检计划数据
2、增加外部维保机构配置</t>
  </si>
  <si>
    <t>消防点巡检计划</t>
  </si>
  <si>
    <t>1、增加平板扫码操作
2、创建计划时，数据只可以选择消防器材数据，默认筛选未配置计划的数据
3、权限调整外部账号只能看到外部权限的资产档案数据（注：资产档案中先配置机构权限）</t>
  </si>
  <si>
    <t>福建基地-人事行政板块-2026年01月26日系统更新内容</t>
  </si>
  <si>
    <t>生育保险津贴管理</t>
  </si>
  <si>
    <t>PC端-功能路径【人事行政】-&gt;【人事管理】-&gt;【专项工作】-&gt;【生育保险津贴管理】
通过配置标准化生育津贴提报、审批及发放规则完成预设，支持员工通过 PC 端及小程序双端在线发起生育津贴提报，全程落地审批、发放的全流程操作，实现 “提报 - 审批 - 发放 - 记录” 的完整流程闭环。业务数据实时同步归档，确保生育津贴申领信息、审批结果、发放记录清晰可溯，既方便相关信息留档备查，又为津贴核算等数据统计提供精准支撑。</t>
  </si>
  <si>
    <t>小程序在线评分需要到1月29日更新到正式版本使用</t>
  </si>
  <si>
    <t>会议纪要管理</t>
  </si>
  <si>
    <t>PC端-功能路径【人事行政】-&gt;【行政管理】-&gt;【基地事项】-&gt;【会议纪要管理】
通过配置标准化会议纪要类型完成规则预设，支持工作人员通过 PC 端在线创建会议纪要信息、上传相关附件并发起审批，实现 “ -纪要创建 - 附件上传 - 审批管理” 的完整流程闭环。审批记录与纪要信息实时同步归档，确保会议相关内容记录规范可溯，既方便日常留档查阅，又为后续会议数据统计、审批进度追踪提供支撑，提升会议纪要管理的标准化与办公效率。</t>
  </si>
  <si>
    <t>标准工时个人绩效</t>
  </si>
  <si>
    <t>编辑/详情页面右边固定自评和复评滑动</t>
  </si>
  <si>
    <t>独立新增复评入口按钮，复评只需要填写分数</t>
  </si>
  <si>
    <t>新增待复评消息通知</t>
  </si>
  <si>
    <t>优化审核界面不可填写复评分数</t>
  </si>
  <si>
    <t>公告管理</t>
  </si>
  <si>
    <t>优化新增反审核功能，支持已发布的公告进行反审核重新编辑发布</t>
  </si>
  <si>
    <t>预览页面新增文号和已读状态</t>
  </si>
  <si>
    <t>优化新增员工查阅统计页面</t>
  </si>
  <si>
    <t>培训计划</t>
  </si>
  <si>
    <t>优化支持批量审核通过</t>
  </si>
  <si>
    <t>培训记录</t>
  </si>
  <si>
    <t>培训方式=外训时，评估效果页面新增固定模板，显示到场人数、评价人数等信息</t>
  </si>
  <si>
    <t>培训学时</t>
  </si>
  <si>
    <t>新增数据权限控制，各部门只能看对应部门的培训学时统计</t>
  </si>
  <si>
    <t>关键事件</t>
  </si>
  <si>
    <t>优化新增作废功能。针对有争议的关键事件可作废不纳入月度汇总统计</t>
  </si>
  <si>
    <t>车辆服务费用</t>
  </si>
  <si>
    <t>新增包含清洁服务费用类型和统计</t>
  </si>
  <si>
    <t>车辆费用统计</t>
  </si>
  <si>
    <t>优化GPS服务费和统计逻辑，将PS费用+清洁费用=服务费用</t>
  </si>
  <si>
    <t>福建基地-财务板块-2026年01月26日系统更新内容</t>
  </si>
  <si>
    <t>资产档案</t>
  </si>
  <si>
    <t>新增标识：外部维保机构，适用与设备、消防、特种设备叉车外部账号访问数据权限使用</t>
  </si>
  <si>
    <t>福建基地-基础板块-2026年01月26日系统更新内容</t>
  </si>
  <si>
    <t>流程设置</t>
  </si>
  <si>
    <t>审批条件设置为父级部门时，员工所在子级部门也生效</t>
  </si>
  <si>
    <t>知识仓库</t>
  </si>
  <si>
    <t>文件预览时新增系统账号水印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</si>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</sst>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4" fillId="0" borderId="3" xfId="0" applyFont="1" applyBorder="1" applyProtection="1">
      <alignment horizontal="center" vertical="center" wrapText="1"/>
    </xf>
    <xf numFmtId="0" fontId="10" fillId="0" borderId="3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/>
    </xf>
    <xf numFmtId="0" fontId="9" fillId="4" borderId="2" xfId="0" applyFont="1" applyFill="1" applyBorder="1" applyProtection="1">
      <alignment horizontal="center" vertical="center" wrapText="1"/>
    </xf>
    <xf numFmtId="0" fontId="10" fillId="0" borderId="3" xfId="0" applyFont="1" applyBorder="1" applyProtection="1">
      <alignment horizontal="center" vertical="center" wrapText="1"/>
    </xf>
    <xf numFmtId="0" fontId="9" fillId="4" borderId="2" xfId="0" applyFont="1" applyFill="1" applyBorder="1" applyProtection="1">
      <alignment horizontal="center" vertical="center"/>
    </xf>
    <xf numFmtId="0" fontId="10" fillId="0" borderId="9" xfId="0" applyFont="1" applyBorder="1" applyProtection="1">
      <alignment horizontal="center" vertical="center"/>
    </xf>
    <xf numFmtId="0" fontId="9" fillId="5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3" fillId="0" borderId="0" xfId="0" applyFont="1">
      <alignment horizontal="general" vertical="center" wrapText="1"/>
    </xf>
    <xf numFmtId="0" fontId="14" fillId="0" borderId="0" xfId="0" applyFont="1">
      <alignment horizontal="general" vertical="center" wrapText="1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9" fillId="4" borderId="16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29" fillId="0" borderId="3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3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3" fillId="0" borderId="4" xfId="0" applyFont="1" applyBorder="1" applyProtection="1">
      <alignment horizontal="general" vertical="center"/>
    </xf>
    <xf numFmtId="0" fontId="11" fillId="0" borderId="17" xfId="0" applyFont="1" applyBorder="1" applyProtection="1">
      <alignment horizontal="left" vertical="center"/>
    </xf>
    <xf numFmtId="0" fontId="29" fillId="0" borderId="3" xfId="0" applyFont="1" applyBorder="1" applyProtection="1">
      <alignment horizontal="left" vertical="center"/>
    </xf>
    <xf numFmtId="0" fontId="13" fillId="0" borderId="1" xfId="0" applyFont="1" applyBorder="1" applyProtection="1">
      <alignment horizontal="general" vertical="center"/>
    </xf>
    <xf numFmtId="0" fontId="4" fillId="0" borderId="15" xfId="0" applyFont="1" applyBorder="1" applyProtection="1">
      <alignment horizontal="center" vertical="center"/>
    </xf>
    <xf numFmtId="0" fontId="10" fillId="0" borderId="18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9" fillId="9" borderId="2" xfId="0" applyFont="1" applyFill="1" applyBorder="1" applyProtection="1">
      <alignment horizontal="center" vertical="center" wrapText="1"/>
    </xf>
    <xf numFmtId="0" fontId="13" fillId="0" borderId="16" xfId="0" applyFont="1" applyBorder="1" applyProtection="1">
      <alignment horizontal="general" vertical="center"/>
    </xf>
    <xf numFmtId="0" fontId="13" fillId="0" borderId="19" xfId="0" applyFont="1" applyBorder="1" applyProtection="1">
      <alignment horizontal="general" vertical="center"/>
    </xf>
    <xf numFmtId="0" fontId="31" fillId="0" borderId="20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21" xfId="0" applyFont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9" fillId="9" borderId="1" xfId="0" applyFont="1" applyFill="1" applyBorder="1" applyProtection="1">
      <alignment horizontal="center" vertical="center"/>
    </xf>
    <xf numFmtId="0" fontId="11" fillId="0" borderId="15" xfId="0" applyFont="1" applyBorder="1" applyProtection="1">
      <alignment horizontal="left" vertical="center" wrapText="1"/>
    </xf>
    <xf numFmtId="0" fontId="10" fillId="0" borderId="2" xfId="0" applyFont="1" applyBorder="1" applyProtection="1">
      <alignment horizontal="center" vertical="center"/>
    </xf>
    <xf numFmtId="0" fontId="7" fillId="0" borderId="22" xfId="0" applyFont="1" applyBorder="1" applyProtection="1">
      <alignment horizontal="center" vertical="center"/>
    </xf>
    <xf numFmtId="0" fontId="32" fillId="0" borderId="1" xfId="0" applyFont="1" applyBorder="1" applyProtection="1">
      <alignment vertical="center"/>
    </xf>
    <xf numFmtId="0" fontId="11" fillId="0" borderId="22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10" fillId="0" borderId="3" xfId="0" applyFont="1" applyBorder="1" applyProtection="1">
      <alignment horizontal="general" vertical="center"/>
    </xf>
    <xf numFmtId="0" fontId="10" fillId="0" borderId="3" xfId="0" applyFont="1" applyBorder="1" applyProtection="1">
      <alignment horizontal="general" vertical="center" wrapText="1"/>
    </xf>
    <xf numFmtId="0" fontId="11" fillId="0" borderId="9" xfId="0" applyFont="1" applyBorder="1" applyProtection="1">
      <alignment horizontal="left" vertical="center" wrapText="1"/>
    </xf>
    <xf numFmtId="0" fontId="32" fillId="0" borderId="16" xfId="0" applyFont="1" applyBorder="1" applyProtection="1">
      <alignment vertical="center"/>
    </xf>
    <xf numFmtId="0" fontId="32" fillId="0" borderId="19" xfId="0" applyFont="1" applyBorder="1" applyProtection="1">
      <alignment vertical="center"/>
    </xf>
    <xf numFmtId="0" fontId="33" fillId="0" borderId="20" xfId="0" applyFont="1" applyBorder="1" applyProtection="1">
      <alignment horizontal="left" vertical="center"/>
    </xf>
    <xf numFmtId="0" fontId="34" fillId="0" borderId="3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22" xfId="0" applyFont="1" applyBorder="1" applyProtection="1">
      <alignment horizontal="left" vertical="center" wrapText="1"/>
    </xf>
    <xf numFmtId="0" fontId="41" fillId="0" borderId="22" xfId="0" applyFont="1" applyBorder="1" applyProtection="1">
      <alignment horizontal="left" vertical="center" wrapText="1"/>
    </xf>
    <xf numFmtId="0" fontId="42" fillId="0" borderId="4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38100</xdr:colOff>
      <xdr:row>5</xdr:row>
      <xdr:rowOff>0</xdr:rowOff>
    </xdr:from>
    <xdr:ext cx="13144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5</xdr:row>
      <xdr:rowOff>266700</xdr:rowOff>
    </xdr:from>
    <xdr:ext cx="609600" cy="228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46048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46055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1" t="n">
        <v>2</v>
      </c>
      <c r="D6" s="62" t="n">
        <v>9</v>
      </c>
      <c r="E6" s="63" t="n">
        <f>C6+D6</f>
        <v>0</v>
      </c>
    </row>
    <row r="7" ht="13.5" customHeight="1">
      <c r="A7" s="45" t="n">
        <v>2</v>
      </c>
      <c r="B7" s="46" t="s">
        <v>11</v>
      </c>
      <c r="C7" s="61" t="n">
        <v>0</v>
      </c>
      <c r="D7" s="62" t="n">
        <v>10</v>
      </c>
      <c r="E7" s="63" t="n">
        <f>C7+D7</f>
        <v>0</v>
      </c>
    </row>
    <row r="8" ht="13.5" customHeight="1">
      <c r="A8" s="45" t="n">
        <v>3</v>
      </c>
      <c r="B8" s="46" t="s">
        <v>12</v>
      </c>
      <c r="C8" s="61" t="n">
        <v>1</v>
      </c>
      <c r="D8" s="62" t="n">
        <v>39</v>
      </c>
      <c r="E8" s="63" t="n">
        <f>C8+D8</f>
        <v>0</v>
      </c>
    </row>
    <row r="9" ht="13.5" customHeight="1">
      <c r="A9" s="45" t="n">
        <v>4</v>
      </c>
      <c r="B9" s="46" t="s">
        <v>13</v>
      </c>
      <c r="C9" s="61" t="n">
        <v>0</v>
      </c>
      <c r="D9" s="62" t="n">
        <v>6</v>
      </c>
      <c r="E9" s="63" t="n">
        <f>C9+D9</f>
        <v>0</v>
      </c>
    </row>
    <row r="10" ht="13.5" customHeight="1">
      <c r="A10" s="45" t="n">
        <v>5</v>
      </c>
      <c r="B10" s="46" t="s">
        <v>14</v>
      </c>
      <c r="C10" s="61" t="n">
        <v>0</v>
      </c>
      <c r="D10" s="62" t="n">
        <v>5</v>
      </c>
      <c r="E10" s="63" t="n">
        <f>C10+D10</f>
        <v>0</v>
      </c>
    </row>
    <row r="11" ht="13.5" customHeight="1">
      <c r="A11" s="45" t="n">
        <v>6</v>
      </c>
      <c r="B11" s="46" t="s">
        <v>15</v>
      </c>
      <c r="C11" s="61" t="n">
        <v>2</v>
      </c>
      <c r="D11" s="62" t="n">
        <v>13</v>
      </c>
      <c r="E11" s="63" t="n">
        <f>C11+D11</f>
        <v>0</v>
      </c>
    </row>
    <row r="12" ht="13.5" customHeight="1">
      <c r="A12" s="45" t="n">
        <v>7</v>
      </c>
      <c r="B12" s="46" t="s">
        <v>16</v>
      </c>
      <c r="C12" s="61" t="n">
        <v>0</v>
      </c>
      <c r="D12" s="62" t="n">
        <v>1</v>
      </c>
      <c r="E12" s="63" t="n">
        <f>C12+D12</f>
        <v>0</v>
      </c>
    </row>
    <row r="13" ht="13.5" customHeight="1">
      <c r="A13" s="45" t="n">
        <v>8</v>
      </c>
      <c r="B13" s="46" t="s">
        <v>17</v>
      </c>
      <c r="C13" s="61" t="n">
        <v>0</v>
      </c>
      <c r="D13" s="62" t="n">
        <v>2</v>
      </c>
      <c r="E13" s="63" t="n">
        <f>C13+D13</f>
        <v>0</v>
      </c>
    </row>
    <row r="14" ht="13.5" customHeight="1">
      <c r="A14" s="45" t="n">
        <v>9</v>
      </c>
      <c r="B14" s="46" t="s">
        <v>9</v>
      </c>
      <c r="C14" s="61" t="n">
        <f>C6+C7+C8+C9+C10+C11+C12+C13</f>
        <v>0</v>
      </c>
      <c r="D14" s="62" t="n">
        <f>D6+D7+D8+D9+D10+D11+D12+D13</f>
        <v>0</v>
      </c>
      <c r="E14" s="63" t="n">
        <f>C14+D14</f>
        <v>0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26" t="s">
        <v>20</v>
      </c>
      <c r="B17" s="51"/>
      <c r="C17" s="51"/>
      <c r="D17" s="51"/>
      <c r="E17" s="59"/>
    </row>
  </sheetData>
  <sheetProtection insertHyperlinks="0" autoFilter="0"/>
  <mergeCells count="10">
    <mergeCell ref="C3:E3"/>
    <mergeCell ref="A1:E1"/>
    <mergeCell ref="A4:B4"/>
    <mergeCell ref="A16:E16"/>
    <mergeCell ref="A17:E17"/>
    <mergeCell ref="A2:B2"/>
    <mergeCell ref="A3:B3"/>
    <mergeCell ref="A15:E15"/>
    <mergeCell ref="C4:E4"/>
    <mergeCell ref="C2:E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9" t="s">
        <v>21</v>
      </c>
      <c r="B1" s="82"/>
      <c r="C1" s="82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5" t="s">
        <v>24</v>
      </c>
      <c r="E2" s="20" t="s">
        <v>25</v>
      </c>
    </row>
    <row r="3" ht="20.25" customHeight="1">
      <c r="A3" s="23" t="n">
        <v>1</v>
      </c>
      <c r="B3" s="87" t="s">
        <v>26</v>
      </c>
      <c r="C3" s="88" t="s">
        <v>27</v>
      </c>
      <c r="D3" s="111" t="s">
        <v>28</v>
      </c>
      <c r="E3" s="89"/>
    </row>
    <row r="4" ht="20.25" customHeight="1">
      <c r="A4" s="23" t="n">
        <v>2</v>
      </c>
      <c r="B4" s="124"/>
      <c r="C4" s="88" t="s">
        <v>29</v>
      </c>
      <c r="D4" s="111" t="s">
        <v>30</v>
      </c>
      <c r="E4" s="89"/>
    </row>
    <row r="5" ht="20.25" customHeight="1">
      <c r="A5" s="31" t="n">
        <v>1</v>
      </c>
      <c r="B5" s="15" t="s">
        <v>31</v>
      </c>
      <c r="C5" s="77" t="s">
        <v>32</v>
      </c>
      <c r="D5" s="111" t="s">
        <v>33</v>
      </c>
      <c r="E5" s="69"/>
    </row>
    <row r="6" ht="20.25" customHeight="1">
      <c r="A6" s="31" t="n">
        <v>2</v>
      </c>
      <c r="B6" s="97"/>
      <c r="C6" s="77" t="s">
        <v>34</v>
      </c>
      <c r="D6" s="111" t="s">
        <v>35</v>
      </c>
      <c r="E6" s="98"/>
    </row>
    <row r="7" ht="20.25" customHeight="1">
      <c r="A7" s="31" t="n">
        <v>3</v>
      </c>
      <c r="B7" s="97"/>
      <c r="C7" s="77" t="s">
        <v>36</v>
      </c>
      <c r="D7" s="111" t="s">
        <v>37</v>
      </c>
      <c r="E7" s="98"/>
    </row>
    <row r="8" ht="20.25" customHeight="1">
      <c r="A8" s="31" t="n">
        <v>4</v>
      </c>
      <c r="B8" s="97"/>
      <c r="C8" s="77" t="s">
        <v>38</v>
      </c>
      <c r="D8" s="111" t="s">
        <v>39</v>
      </c>
      <c r="E8" s="98"/>
    </row>
    <row r="9" ht="57" customHeight="1">
      <c r="A9" s="31" t="n">
        <v>5</v>
      </c>
      <c r="B9" s="97"/>
      <c r="C9" s="75" t="s">
        <v>40</v>
      </c>
      <c r="D9" s="127" t="s">
        <v>41</v>
      </c>
      <c r="E9" s="98"/>
    </row>
    <row r="10" ht="20.25" customHeight="1">
      <c r="A10" s="31" t="n">
        <v>6</v>
      </c>
      <c r="B10" s="97"/>
      <c r="C10" s="75" t="s">
        <v>42</v>
      </c>
      <c r="D10" s="108" t="s">
        <v>43</v>
      </c>
      <c r="E10" s="98"/>
    </row>
    <row r="11" ht="20.25" customHeight="1">
      <c r="A11" s="31" t="n">
        <v>7</v>
      </c>
      <c r="B11" s="97"/>
      <c r="C11" s="75" t="s">
        <v>44</v>
      </c>
      <c r="D11" s="108" t="s">
        <v>45</v>
      </c>
      <c r="E11" s="98"/>
    </row>
    <row r="12" ht="20.25" customHeight="1">
      <c r="A12" s="31" t="n">
        <v>8</v>
      </c>
      <c r="B12" s="97"/>
      <c r="C12" s="75" t="s">
        <v>46</v>
      </c>
      <c r="D12" s="108" t="s">
        <v>47</v>
      </c>
      <c r="E12" s="98"/>
    </row>
    <row r="13" ht="20.25" customHeight="1">
      <c r="A13" s="31" t="n">
        <v>9</v>
      </c>
      <c r="B13" s="97"/>
      <c r="C13" s="75" t="s">
        <v>48</v>
      </c>
      <c r="D13" s="123" t="s">
        <v>45</v>
      </c>
      <c r="E13" s="27"/>
    </row>
  </sheetData>
  <sheetProtection insertHyperlinks="0" autoFilter="0"/>
  <mergeCells count="3">
    <mergeCell ref="A1:E1"/>
    <mergeCell ref="B5:B13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49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31" t="n">
        <v>1</v>
      </c>
      <c r="B3" s="114" t="s">
        <v>31</v>
      </c>
      <c r="C3" s="121" t="s">
        <v>50</v>
      </c>
      <c r="D3" s="109" t="s">
        <v>51</v>
      </c>
      <c r="E3" s="69"/>
    </row>
    <row r="4" ht="18.75" customHeight="1">
      <c r="A4" s="31" t="n">
        <v>2</v>
      </c>
      <c r="B4" s="97"/>
      <c r="C4" s="122" t="s">
        <v>52</v>
      </c>
      <c r="D4" s="109" t="s">
        <v>53</v>
      </c>
      <c r="E4" s="69"/>
    </row>
    <row r="5" s="83" customFormat="1" ht="18.75" customHeight="1">
      <c r="A5" s="31" t="n">
        <v>3</v>
      </c>
      <c r="B5" s="97"/>
      <c r="C5" s="85" t="s">
        <v>54</v>
      </c>
      <c r="D5" s="109" t="s">
        <v>55</v>
      </c>
      <c r="E5" s="71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</row>
    <row r="6" ht="18.75" customHeight="1">
      <c r="A6" s="31" t="n">
        <v>4</v>
      </c>
      <c r="B6" s="97"/>
      <c r="C6" s="121" t="s">
        <v>56</v>
      </c>
      <c r="D6" s="109" t="s">
        <v>57</v>
      </c>
      <c r="E6" s="69"/>
    </row>
    <row r="7" ht="18.75" customHeight="1">
      <c r="A7" s="31" t="n">
        <v>5</v>
      </c>
      <c r="B7" s="97"/>
      <c r="C7" s="121" t="s">
        <v>58</v>
      </c>
      <c r="D7" s="109" t="s">
        <v>59</v>
      </c>
      <c r="E7" s="69"/>
    </row>
    <row r="8" ht="18.75" customHeight="1">
      <c r="A8" s="31" t="n">
        <v>6</v>
      </c>
      <c r="B8" s="97"/>
      <c r="C8" s="85" t="s">
        <v>60</v>
      </c>
      <c r="D8" s="109" t="s">
        <v>61</v>
      </c>
      <c r="E8" s="69"/>
    </row>
    <row r="9" ht="18.75" customHeight="1">
      <c r="A9" s="31" t="n">
        <v>7</v>
      </c>
      <c r="B9" s="97"/>
      <c r="C9" s="85" t="s">
        <v>62</v>
      </c>
      <c r="D9" s="109" t="s">
        <v>61</v>
      </c>
      <c r="E9" s="69"/>
    </row>
    <row r="10" ht="18.75" customHeight="1">
      <c r="A10" s="31" t="n">
        <v>8</v>
      </c>
      <c r="B10" s="97"/>
      <c r="C10" s="85" t="s">
        <v>63</v>
      </c>
      <c r="D10" s="91" t="s">
        <v>64</v>
      </c>
      <c r="E10" s="69"/>
    </row>
    <row r="11" ht="18.75" customHeight="1">
      <c r="A11" s="31" t="n">
        <v>9</v>
      </c>
      <c r="B11" s="97"/>
      <c r="C11" s="85" t="s">
        <v>65</v>
      </c>
      <c r="D11" s="109" t="s">
        <v>61</v>
      </c>
      <c r="E11" s="69"/>
    </row>
    <row r="12" ht="18.75" customHeight="1">
      <c r="A12" s="31" t="n">
        <v>10</v>
      </c>
      <c r="B12" s="97"/>
      <c r="C12" s="85" t="s">
        <v>66</v>
      </c>
      <c r="D12" s="91" t="s">
        <v>67</v>
      </c>
      <c r="E12" s="69"/>
    </row>
    <row r="19" ht="14.399999999999999" customHeight="1">
      <c r="C19" s="5" t="s">
        <v>68</v>
      </c>
    </row>
  </sheetData>
  <sheetProtection insertHyperlinks="0" autoFilter="0"/>
  <mergeCells count="2">
    <mergeCell ref="A1:E1"/>
    <mergeCell ref="B3:B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6"/>
    <col min="4" max="4" width="99" customWidth="1" style="22"/>
    <col min="5" max="5" width="38.8330078125" customWidth="1" style="22"/>
  </cols>
  <sheetData>
    <row r="1" ht="45" customHeight="1">
      <c r="A1" s="24" t="s">
        <v>69</v>
      </c>
      <c r="B1" s="25"/>
      <c r="C1" s="67"/>
      <c r="D1" s="25"/>
      <c r="E1" s="25"/>
    </row>
    <row r="2" ht="22.5" customHeight="1">
      <c r="A2" s="20" t="s">
        <v>5</v>
      </c>
      <c r="B2" s="70" t="s">
        <v>22</v>
      </c>
      <c r="C2" s="70" t="s">
        <v>23</v>
      </c>
      <c r="D2" s="70" t="s">
        <v>24</v>
      </c>
      <c r="E2" s="70" t="s">
        <v>25</v>
      </c>
    </row>
    <row r="3" s="60" customFormat="1" ht="40.5" customHeight="1">
      <c r="A3" s="101" t="n">
        <v>1</v>
      </c>
      <c r="B3" s="74" t="s">
        <v>26</v>
      </c>
      <c r="C3" s="102" t="s">
        <v>70</v>
      </c>
      <c r="D3" s="110" t="s">
        <v>71</v>
      </c>
      <c r="E3" s="103"/>
    </row>
    <row r="4" s="60" customFormat="1" ht="38.25" customHeight="1">
      <c r="A4" s="68" t="n">
        <v>1</v>
      </c>
      <c r="B4" s="104" t="s">
        <v>31</v>
      </c>
      <c r="C4" s="17" t="s">
        <v>72</v>
      </c>
      <c r="D4" s="92" t="s">
        <v>73</v>
      </c>
      <c r="E4" s="33"/>
    </row>
    <row r="5" ht="20.25" customHeight="1">
      <c r="A5" s="68" t="n">
        <v>2</v>
      </c>
      <c r="B5" s="124"/>
      <c r="C5" s="17" t="s">
        <v>74</v>
      </c>
      <c r="D5" s="92" t="s">
        <v>75</v>
      </c>
      <c r="E5" s="33"/>
    </row>
    <row r="6" ht="20.25" customHeight="1">
      <c r="A6" s="68" t="n">
        <v>3</v>
      </c>
      <c r="B6" s="124"/>
      <c r="C6" s="75" t="s">
        <v>76</v>
      </c>
      <c r="D6" s="111" t="s">
        <v>77</v>
      </c>
      <c r="E6" s="33"/>
    </row>
    <row r="7" ht="20.25" customHeight="1">
      <c r="A7" s="68" t="n">
        <v>4</v>
      </c>
      <c r="B7" s="124"/>
      <c r="C7" s="75" t="s">
        <v>78</v>
      </c>
      <c r="D7" s="111" t="s">
        <v>79</v>
      </c>
      <c r="E7" s="33"/>
    </row>
    <row r="8" ht="20.25" customHeight="1">
      <c r="A8" s="68" t="n">
        <v>5</v>
      </c>
      <c r="B8" s="124"/>
      <c r="C8" s="75" t="s">
        <v>80</v>
      </c>
      <c r="D8" s="111" t="s">
        <v>81</v>
      </c>
      <c r="E8" s="33"/>
    </row>
    <row r="9" ht="38.25" customHeight="1">
      <c r="A9" s="68" t="n">
        <v>6</v>
      </c>
      <c r="B9" s="124"/>
      <c r="C9" s="75" t="s">
        <v>82</v>
      </c>
      <c r="D9" s="111" t="s">
        <v>83</v>
      </c>
      <c r="E9" s="33"/>
    </row>
    <row r="10" ht="20.25" customHeight="1">
      <c r="A10" s="68" t="n">
        <v>7</v>
      </c>
      <c r="B10" s="124"/>
      <c r="C10" s="75" t="s">
        <v>84</v>
      </c>
      <c r="D10" s="111" t="s">
        <v>85</v>
      </c>
      <c r="E10" s="33"/>
    </row>
    <row r="11" ht="20.25" customHeight="1">
      <c r="A11" s="68" t="n">
        <v>8</v>
      </c>
      <c r="B11" s="124"/>
      <c r="C11" s="75" t="s">
        <v>86</v>
      </c>
      <c r="D11" s="111" t="s">
        <v>87</v>
      </c>
      <c r="E11" s="33"/>
    </row>
    <row r="12" ht="20.25" customHeight="1">
      <c r="A12" s="68" t="n">
        <v>9</v>
      </c>
      <c r="B12" s="124"/>
      <c r="C12" s="75" t="s">
        <v>88</v>
      </c>
      <c r="D12" s="111" t="s">
        <v>89</v>
      </c>
      <c r="E12" s="33"/>
    </row>
    <row r="13" ht="20.25" customHeight="1">
      <c r="A13" s="68" t="n">
        <v>10</v>
      </c>
      <c r="B13" s="124"/>
      <c r="C13" s="75" t="s">
        <v>90</v>
      </c>
      <c r="D13" s="111" t="s">
        <v>91</v>
      </c>
      <c r="E13" s="33"/>
    </row>
    <row r="14" ht="20.25" customHeight="1">
      <c r="A14" s="68" t="n">
        <v>11</v>
      </c>
      <c r="B14" s="124"/>
      <c r="C14" s="75" t="s">
        <v>92</v>
      </c>
      <c r="D14" s="111" t="s">
        <v>93</v>
      </c>
      <c r="E14" s="33"/>
    </row>
    <row r="15" ht="20.25" customHeight="1">
      <c r="A15" s="68" t="n">
        <v>12</v>
      </c>
      <c r="B15" s="124"/>
      <c r="C15" s="75" t="s">
        <v>94</v>
      </c>
      <c r="D15" s="111" t="s">
        <v>95</v>
      </c>
      <c r="E15" s="33"/>
    </row>
    <row r="16" ht="20.25" customHeight="1">
      <c r="A16" s="68" t="n">
        <v>13</v>
      </c>
      <c r="B16" s="124"/>
      <c r="C16" s="75" t="s">
        <v>96</v>
      </c>
      <c r="D16" s="111" t="s">
        <v>95</v>
      </c>
      <c r="E16" s="33"/>
    </row>
    <row r="17" ht="20.25" customHeight="1">
      <c r="A17" s="68" t="n">
        <v>14</v>
      </c>
      <c r="B17" s="124"/>
      <c r="C17" s="75" t="s">
        <v>97</v>
      </c>
      <c r="D17" s="111" t="s">
        <v>98</v>
      </c>
      <c r="E17" s="33"/>
    </row>
    <row r="18" ht="20.25" customHeight="1">
      <c r="A18" s="68" t="n">
        <v>15</v>
      </c>
      <c r="B18" s="124"/>
      <c r="C18" s="75" t="s">
        <v>96</v>
      </c>
      <c r="D18" s="111" t="s">
        <v>99</v>
      </c>
      <c r="E18" s="33"/>
    </row>
    <row r="19" ht="20.25" customHeight="1">
      <c r="A19" s="68" t="n">
        <v>16</v>
      </c>
      <c r="B19" s="124"/>
      <c r="C19" s="75" t="s">
        <v>100</v>
      </c>
      <c r="D19" s="111" t="s">
        <v>101</v>
      </c>
      <c r="E19" s="33"/>
    </row>
    <row r="20" ht="20.25" customHeight="1">
      <c r="A20" s="68" t="n">
        <v>17</v>
      </c>
      <c r="B20" s="124"/>
      <c r="C20" s="75" t="s">
        <v>102</v>
      </c>
      <c r="D20" s="111" t="s">
        <v>103</v>
      </c>
      <c r="E20" s="33"/>
    </row>
    <row r="21" ht="20.25" customHeight="1">
      <c r="A21" s="68" t="n">
        <v>18</v>
      </c>
      <c r="B21" s="124"/>
      <c r="C21" s="75" t="s">
        <v>104</v>
      </c>
      <c r="D21" s="111" t="s">
        <v>105</v>
      </c>
      <c r="E21" s="33"/>
    </row>
    <row r="22" ht="20.25" customHeight="1">
      <c r="A22" s="68" t="n">
        <v>19</v>
      </c>
      <c r="B22" s="124"/>
      <c r="C22" s="75" t="s">
        <v>106</v>
      </c>
      <c r="D22" s="111" t="s">
        <v>107</v>
      </c>
      <c r="E22" s="90"/>
    </row>
    <row r="23" ht="20.25" customHeight="1">
      <c r="A23" s="68" t="n">
        <v>20</v>
      </c>
      <c r="B23" s="124"/>
      <c r="C23" s="75" t="s">
        <v>108</v>
      </c>
      <c r="D23" s="111" t="s">
        <v>109</v>
      </c>
      <c r="E23" s="60"/>
    </row>
    <row r="24" ht="20.25" customHeight="1">
      <c r="A24" s="68" t="n">
        <v>21</v>
      </c>
      <c r="B24" s="124"/>
      <c r="C24" s="75" t="s">
        <v>110</v>
      </c>
      <c r="D24" s="111" t="s">
        <v>109</v>
      </c>
      <c r="E24" s="60"/>
    </row>
    <row r="25" ht="38.25" customHeight="1">
      <c r="A25" s="68" t="n">
        <v>22</v>
      </c>
      <c r="B25" s="124"/>
      <c r="C25" s="75" t="s">
        <v>111</v>
      </c>
      <c r="D25" s="111" t="s">
        <v>112</v>
      </c>
      <c r="E25" s="60"/>
    </row>
    <row r="26" ht="113.25" customHeight="1">
      <c r="A26" s="68" t="n">
        <v>23</v>
      </c>
      <c r="B26" s="124"/>
      <c r="C26" s="75" t="s">
        <v>110</v>
      </c>
      <c r="D26" s="128" t="s">
        <v>113</v>
      </c>
      <c r="E26" s="60"/>
    </row>
    <row r="27" ht="20.25" customHeight="1">
      <c r="A27" s="68" t="n">
        <v>24</v>
      </c>
      <c r="B27" s="124"/>
      <c r="C27" s="75" t="s">
        <v>114</v>
      </c>
      <c r="D27" s="111" t="s">
        <v>115</v>
      </c>
      <c r="E27" s="60"/>
    </row>
    <row r="28" ht="20.25" customHeight="1">
      <c r="A28" s="68" t="n">
        <v>25</v>
      </c>
      <c r="B28" s="124"/>
      <c r="C28" s="75" t="s">
        <v>116</v>
      </c>
      <c r="D28" s="111" t="s">
        <v>117</v>
      </c>
      <c r="E28" s="60"/>
    </row>
    <row r="29" ht="20.25" customHeight="1">
      <c r="A29" s="68" t="n">
        <v>26</v>
      </c>
      <c r="B29" s="124"/>
      <c r="C29" s="75" t="s">
        <v>118</v>
      </c>
      <c r="D29" s="111" t="s">
        <v>119</v>
      </c>
      <c r="E29" s="60"/>
    </row>
    <row r="30" ht="57" customHeight="1">
      <c r="A30" s="68" t="n">
        <v>27</v>
      </c>
      <c r="B30" s="124"/>
      <c r="C30" s="75" t="s">
        <v>120</v>
      </c>
      <c r="D30" s="129" t="s">
        <v>121</v>
      </c>
      <c r="E30" s="60"/>
    </row>
    <row r="31" ht="20.25" customHeight="1">
      <c r="A31" s="68" t="n">
        <v>28</v>
      </c>
      <c r="B31" s="124"/>
      <c r="C31" s="75" t="s">
        <v>122</v>
      </c>
      <c r="D31" s="111" t="s">
        <v>123</v>
      </c>
      <c r="E31" s="60"/>
    </row>
    <row r="32" ht="20.25" customHeight="1">
      <c r="A32" s="68" t="n">
        <v>29</v>
      </c>
      <c r="B32" s="124"/>
      <c r="C32" s="75" t="s">
        <v>124</v>
      </c>
      <c r="D32" s="111" t="s">
        <v>125</v>
      </c>
      <c r="E32" s="60"/>
    </row>
    <row r="33" ht="20.25" customHeight="1">
      <c r="A33" s="68" t="n">
        <v>30</v>
      </c>
      <c r="B33" s="124"/>
      <c r="C33" s="75" t="s">
        <v>126</v>
      </c>
      <c r="D33" s="111" t="s">
        <v>127</v>
      </c>
      <c r="E33" s="60"/>
    </row>
    <row r="34" ht="20.25" customHeight="1">
      <c r="A34" s="68" t="n">
        <v>31</v>
      </c>
      <c r="B34" s="124"/>
      <c r="C34" s="75" t="s">
        <v>128</v>
      </c>
      <c r="D34" s="111" t="s">
        <v>129</v>
      </c>
      <c r="E34" s="60"/>
    </row>
    <row r="35" ht="94.5" customHeight="1">
      <c r="A35" s="68" t="n">
        <v>32</v>
      </c>
      <c r="B35" s="124"/>
      <c r="C35" s="75" t="s">
        <v>130</v>
      </c>
      <c r="D35" s="130" t="s">
        <v>131</v>
      </c>
      <c r="E35" s="60"/>
    </row>
    <row r="36" ht="20.25" customHeight="1">
      <c r="A36" s="68" t="n">
        <v>33</v>
      </c>
      <c r="B36" s="124"/>
      <c r="C36" s="75" t="s">
        <v>132</v>
      </c>
      <c r="D36" s="111" t="s">
        <v>133</v>
      </c>
      <c r="E36" s="60"/>
    </row>
    <row r="37" ht="20.25" customHeight="1">
      <c r="A37" s="68" t="n">
        <v>34</v>
      </c>
      <c r="B37" s="124"/>
      <c r="C37" s="75" t="s">
        <v>134</v>
      </c>
      <c r="D37" s="111" t="s">
        <v>133</v>
      </c>
      <c r="E37" s="60"/>
    </row>
    <row r="38" ht="113.25" customHeight="1">
      <c r="A38" s="68" t="n">
        <v>35</v>
      </c>
      <c r="B38" s="124"/>
      <c r="C38" s="75" t="s">
        <v>97</v>
      </c>
      <c r="D38" s="131" t="s">
        <v>135</v>
      </c>
      <c r="E38" s="60"/>
    </row>
    <row r="39" ht="20.25" customHeight="1">
      <c r="A39" s="68" t="n">
        <v>36</v>
      </c>
      <c r="B39" s="124"/>
      <c r="C39" s="75" t="s">
        <v>136</v>
      </c>
      <c r="D39" s="111" t="s">
        <v>137</v>
      </c>
      <c r="E39" s="60"/>
    </row>
    <row r="40" ht="20.25" customHeight="1">
      <c r="A40" s="68" t="n">
        <v>37</v>
      </c>
      <c r="B40" s="124"/>
      <c r="C40" s="75" t="s">
        <v>138</v>
      </c>
      <c r="D40" s="111" t="s">
        <v>139</v>
      </c>
      <c r="E40" s="60"/>
    </row>
    <row r="41" ht="20.25" customHeight="1">
      <c r="A41" s="68" t="n">
        <v>38</v>
      </c>
      <c r="B41" s="124"/>
      <c r="C41" s="75" t="s">
        <v>140</v>
      </c>
      <c r="D41" s="111" t="s">
        <v>139</v>
      </c>
      <c r="E41" s="60"/>
    </row>
    <row r="42" ht="20.25" customHeight="1">
      <c r="A42" s="68" t="n">
        <v>39</v>
      </c>
      <c r="B42" s="125"/>
      <c r="C42" s="75" t="s">
        <v>141</v>
      </c>
      <c r="D42" s="111" t="s">
        <v>139</v>
      </c>
      <c r="E42" s="60"/>
    </row>
  </sheetData>
  <sheetProtection insertHyperlinks="0" autoFilter="0"/>
  <mergeCells count="2">
    <mergeCell ref="A1:E1"/>
    <mergeCell ref="B4:B4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50.90217391304348" customHeight="1" hidden="1">
      <c r="A3" s="23" t="n">
        <v>1</v>
      </c>
      <c r="B3" s="76" t="s">
        <v>26</v>
      </c>
      <c r="C3" s="86"/>
      <c r="D3" s="91"/>
      <c r="E3" s="32"/>
    </row>
    <row r="4" ht="20.25" customHeight="1" hidden="1">
      <c r="A4" s="23" t="n">
        <v>2</v>
      </c>
      <c r="B4" s="76"/>
      <c r="C4" s="86"/>
      <c r="D4" s="91"/>
      <c r="E4" s="32"/>
    </row>
    <row r="5" ht="20.25" customHeight="1">
      <c r="A5" s="31" t="n">
        <v>1</v>
      </c>
      <c r="B5" s="78" t="s">
        <v>31</v>
      </c>
      <c r="C5" s="85" t="s">
        <v>143</v>
      </c>
      <c r="D5" s="109" t="s">
        <v>144</v>
      </c>
      <c r="E5" s="32"/>
    </row>
    <row r="6" ht="20.25" customHeight="1">
      <c r="A6" s="31" t="n">
        <v>2</v>
      </c>
      <c r="B6" s="105"/>
      <c r="C6" s="85" t="s">
        <v>145</v>
      </c>
      <c r="D6" s="109" t="s">
        <v>144</v>
      </c>
      <c r="E6" s="27"/>
    </row>
    <row r="7" ht="20.25" customHeight="1">
      <c r="A7" s="31" t="n">
        <v>3</v>
      </c>
      <c r="B7" s="105"/>
      <c r="C7" s="72" t="s">
        <v>146</v>
      </c>
      <c r="D7" s="109" t="s">
        <v>147</v>
      </c>
      <c r="E7" s="27"/>
    </row>
    <row r="8" ht="20.25" customHeight="1">
      <c r="A8" s="31" t="n">
        <v>4</v>
      </c>
      <c r="B8" s="105"/>
      <c r="C8" s="72" t="s">
        <v>148</v>
      </c>
      <c r="D8" s="109" t="s">
        <v>149</v>
      </c>
      <c r="E8" s="27"/>
    </row>
    <row r="9" ht="20.25" customHeight="1">
      <c r="A9" s="31" t="n">
        <v>5</v>
      </c>
      <c r="B9" s="105"/>
      <c r="C9" s="72" t="s">
        <v>150</v>
      </c>
      <c r="D9" s="109" t="s">
        <v>149</v>
      </c>
      <c r="E9" s="27"/>
    </row>
    <row r="10" ht="20.25" customHeight="1">
      <c r="A10" s="31" t="n">
        <v>6</v>
      </c>
      <c r="B10" s="106"/>
      <c r="C10" s="72" t="s">
        <v>151</v>
      </c>
      <c r="D10" s="109" t="s">
        <v>152</v>
      </c>
      <c r="E10" s="27"/>
    </row>
  </sheetData>
  <sheetProtection insertHyperlinks="0" autoFilter="0"/>
  <mergeCells count="3">
    <mergeCell ref="B3:B4"/>
    <mergeCell ref="A1:E1"/>
    <mergeCell ref="B5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153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8.25" customHeight="1">
      <c r="A3" s="31" t="n">
        <v>1</v>
      </c>
      <c r="B3" s="78" t="s">
        <v>31</v>
      </c>
      <c r="C3" s="75" t="s">
        <v>154</v>
      </c>
      <c r="D3" s="132" t="s">
        <v>155</v>
      </c>
      <c r="E3" s="27"/>
    </row>
    <row r="4" ht="20.25" customHeight="1">
      <c r="A4" s="31" t="n">
        <v>2</v>
      </c>
      <c r="B4" s="105"/>
      <c r="C4" s="75" t="s">
        <v>156</v>
      </c>
      <c r="D4" s="111" t="s">
        <v>157</v>
      </c>
      <c r="E4" s="100"/>
    </row>
    <row r="5" ht="75.75" customHeight="1">
      <c r="A5" s="31" t="n">
        <v>3</v>
      </c>
      <c r="B5" s="105"/>
      <c r="C5" s="75" t="s">
        <v>158</v>
      </c>
      <c r="D5" s="133" t="s">
        <v>159</v>
      </c>
      <c r="E5" s="27"/>
    </row>
    <row r="6" ht="60" customHeight="1">
      <c r="A6" s="117" t="n">
        <v>4</v>
      </c>
      <c r="B6" s="105"/>
      <c r="C6" s="99" t="s">
        <v>160</v>
      </c>
      <c r="D6" s="134" t="s">
        <v>161</v>
      </c>
      <c r="E6" s="120">
        <v/>
      </c>
      <c r="F6" s="69">
        <v/>
      </c>
    </row>
    <row r="7" ht="57" customHeight="1">
      <c r="A7" s="31" t="n">
        <v>5</v>
      </c>
      <c r="B7" s="106"/>
      <c r="C7" s="17" t="s">
        <v>162</v>
      </c>
      <c r="D7" s="135" t="s">
        <v>163</v>
      </c>
      <c r="E7" s="118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9" t="s">
        <v>164</v>
      </c>
      <c r="B1" s="80"/>
      <c r="C1" s="80"/>
      <c r="D1" s="64"/>
      <c r="E1" s="8"/>
    </row>
    <row r="2" ht="32.5" customHeight="1">
      <c r="A2" s="11" t="s">
        <v>5</v>
      </c>
      <c r="B2" s="11" t="s">
        <v>22</v>
      </c>
      <c r="C2" s="11" t="s">
        <v>23</v>
      </c>
      <c r="D2" s="81" t="s">
        <v>24</v>
      </c>
      <c r="E2" s="65" t="s">
        <v>25</v>
      </c>
    </row>
    <row r="3" ht="75.75" customHeight="1">
      <c r="A3" s="23" t="n">
        <v>1</v>
      </c>
      <c r="B3" s="87" t="s">
        <v>26</v>
      </c>
      <c r="C3" s="88" t="s">
        <v>165</v>
      </c>
      <c r="D3" s="136" t="s">
        <v>166</v>
      </c>
      <c r="E3" s="89" t="s">
        <v>167</v>
      </c>
    </row>
    <row r="4" ht="75.75" customHeight="1">
      <c r="A4" s="23" t="n">
        <v>2</v>
      </c>
      <c r="B4" s="87"/>
      <c r="C4" s="88" t="s">
        <v>168</v>
      </c>
      <c r="D4" s="137" t="s">
        <v>169</v>
      </c>
      <c r="E4" s="96"/>
    </row>
    <row r="5" ht="19.5" customHeight="1">
      <c r="A5" s="31" t="n">
        <v>1</v>
      </c>
      <c r="B5" s="113" t="s">
        <v>31</v>
      </c>
      <c r="C5" s="116" t="s">
        <v>170</v>
      </c>
      <c r="D5" s="115" t="s">
        <v>171</v>
      </c>
      <c r="E5" s="95"/>
    </row>
    <row r="6" ht="19.5" customHeight="1">
      <c r="A6" s="31" t="n">
        <v>2</v>
      </c>
      <c r="B6" s="113"/>
      <c r="C6" s="124"/>
      <c r="D6" s="115" t="s">
        <v>172</v>
      </c>
      <c r="E6" s="73"/>
    </row>
    <row r="7" ht="19.5" customHeight="1">
      <c r="A7" s="31" t="n">
        <v>3</v>
      </c>
      <c r="B7" s="15"/>
      <c r="C7" s="124"/>
      <c r="D7" s="110" t="s">
        <v>173</v>
      </c>
      <c r="E7" s="73"/>
    </row>
    <row r="8" ht="19.5" customHeight="1">
      <c r="A8" s="31" t="n">
        <v>4</v>
      </c>
      <c r="B8" s="15"/>
      <c r="C8" s="124"/>
      <c r="D8" s="111" t="s">
        <v>174</v>
      </c>
      <c r="E8" s="73"/>
    </row>
    <row r="9" ht="19.5" customHeight="1">
      <c r="A9" s="31" t="n">
        <v>5</v>
      </c>
      <c r="B9" s="113"/>
      <c r="C9" s="13" t="s">
        <v>175</v>
      </c>
      <c r="D9" s="108" t="s">
        <v>176</v>
      </c>
      <c r="E9" s="73"/>
    </row>
    <row r="10" ht="19.5" customHeight="1">
      <c r="A10" s="31" t="n">
        <v>6</v>
      </c>
      <c r="B10" s="113"/>
      <c r="C10" s="118"/>
      <c r="D10" s="108" t="s">
        <v>177</v>
      </c>
      <c r="E10" s="73"/>
    </row>
    <row r="11" ht="19.5" customHeight="1">
      <c r="A11" s="31" t="n">
        <v>7</v>
      </c>
      <c r="B11" s="94"/>
      <c r="C11" s="118"/>
      <c r="D11" s="108" t="s">
        <v>178</v>
      </c>
      <c r="E11" s="73"/>
    </row>
    <row r="12" ht="20.25" customHeight="1">
      <c r="A12" s="31" t="n">
        <v>8</v>
      </c>
      <c r="B12" s="94"/>
      <c r="C12" s="112" t="s">
        <v>179</v>
      </c>
      <c r="D12" s="111" t="s">
        <v>180</v>
      </c>
      <c r="E12" s="73"/>
    </row>
    <row r="13" ht="20.25" customHeight="1">
      <c r="A13" s="31" t="n">
        <v>9</v>
      </c>
      <c r="B13" s="94"/>
      <c r="C13" s="88" t="s">
        <v>181</v>
      </c>
      <c r="D13" s="111" t="s">
        <v>182</v>
      </c>
      <c r="E13" s="73"/>
    </row>
    <row r="14" ht="20.25" customHeight="1">
      <c r="A14" s="31" t="n">
        <v>10</v>
      </c>
      <c r="B14" s="94"/>
      <c r="C14" s="88" t="s">
        <v>183</v>
      </c>
      <c r="D14" s="111" t="s">
        <v>184</v>
      </c>
      <c r="E14" s="73"/>
    </row>
    <row r="15" ht="20.25" customHeight="1">
      <c r="A15" s="31" t="n">
        <v>11</v>
      </c>
      <c r="B15" s="94"/>
      <c r="C15" s="88" t="s">
        <v>185</v>
      </c>
      <c r="D15" s="111" t="s">
        <v>186</v>
      </c>
      <c r="E15" s="73"/>
    </row>
    <row r="16" ht="20.25" customHeight="1">
      <c r="A16" s="31" t="n">
        <v>12</v>
      </c>
      <c r="B16" s="94"/>
      <c r="C16" s="88" t="s">
        <v>187</v>
      </c>
      <c r="D16" s="111" t="s">
        <v>188</v>
      </c>
      <c r="E16" s="73"/>
    </row>
    <row r="17" ht="20.25" customHeight="1">
      <c r="A17" s="31" t="n">
        <v>13</v>
      </c>
      <c r="B17" s="94"/>
      <c r="C17" s="88" t="s">
        <v>189</v>
      </c>
      <c r="D17" s="111" t="s">
        <v>190</v>
      </c>
      <c r="E17" s="73"/>
    </row>
  </sheetData>
  <sheetProtection insertHyperlinks="0" autoFilter="0"/>
  <mergeCells count="5">
    <mergeCell ref="A1:E1"/>
    <mergeCell ref="B3:B4"/>
    <mergeCell ref="B5:B17"/>
    <mergeCell ref="C5:C8"/>
    <mergeCell ref="C9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191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5" t="s">
        <v>31</v>
      </c>
      <c r="C3" s="21" t="s">
        <v>192</v>
      </c>
      <c r="D3" s="111" t="s">
        <v>193</v>
      </c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194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1" t="n">
        <v>1</v>
      </c>
      <c r="B3" s="15" t="s">
        <v>31</v>
      </c>
      <c r="C3" s="21" t="s">
        <v>195</v>
      </c>
      <c r="D3" s="111" t="s">
        <v>196</v>
      </c>
      <c r="E3" s="32"/>
    </row>
    <row r="4" ht="40.5" customHeight="1">
      <c r="A4" s="31" t="n">
        <v>2</v>
      </c>
      <c r="B4" s="97"/>
      <c r="C4" s="21" t="s">
        <v>197</v>
      </c>
      <c r="D4" s="111" t="s">
        <v>198</v>
      </c>
      <c r="E4" s="32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199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31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2026-01-26T17:25:38Z</dcterms:modified>
</cp:coreProperties>
</file>