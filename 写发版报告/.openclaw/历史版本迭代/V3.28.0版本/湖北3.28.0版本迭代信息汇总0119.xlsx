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<sst xmlns="http://schemas.openxmlformats.org/spreadsheetml/2006/main">
  <si>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湖北基地-数智工厂3.28.0版本迭代概览</t>
  </si>
  <si>
    <t>本次试用迭代</t>
  </si>
  <si>
    <t>基地试用周期</t>
  </si>
  <si>
    <t>01月19日-01月26日（共8天）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</si>
  <si>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</si>
  <si>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</si>
  <si>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</si>
  <si>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</si>
  <si>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</si>
  <si>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</si>
  <si>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</si>
  <si>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</si>
  <si>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</si>
  <si>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</si>
  <si>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</si>
  <si>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</si>
  <si>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</si>
  <si>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</si>
  <si>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</si>
  <si>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</si>
  <si>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</si>
  <si>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湖北基地-仓储板块-2026年01月19日系统更新内容</t>
  </si>
  <si>
    <t>类型</t>
  </si>
  <si>
    <t>单据</t>
  </si>
  <si>
    <t>内容</t>
  </si>
  <si>
    <t>备注</t>
  </si>
  <si>
    <t>新增功能</t>
  </si>
  <si>
    <t>库存盘点单(按汇总)</t>
  </si>
  <si>
    <t>新增盘点单，按仓库库存汇总方式盘点。支持备件、原材料、综合物资仓库，其中上期库存支持“按上月末”和“按上期盘点单”方式获取数据</t>
  </si>
  <si>
    <t>优化项</t>
  </si>
  <si>
    <t>采购入库单</t>
  </si>
  <si>
    <t>打通验证业务流程单据：采购入库单→库存总表→领料出库单→领料明细报表
1、采购入库单和原料入库单新增，来源采购订单的字段：含税单价(元)、含去税单价(元)、税率字段
2、菜单权限增加“金额”用于控制是否显示金额信息在单据中
3、采购入库单和原料入库单，列表和详情中的“采购单号”增加链接跳转到对应采购单详情</t>
  </si>
  <si>
    <t>库存总表</t>
  </si>
  <si>
    <t>增加金额平均单价(含税)、平均单价(去税) 
计算方式：
平均价含税（库存成本价含税）= (系统库存数*系统库存当前平均价含税+入库数*采购价含税）／ (系统库存数+入库数)
平均价去税（库存成本价不含税）= (系统库存数*系统库存当前平均价去税+入库数*采购价去税）／ (系统库存数+入库数)</t>
  </si>
  <si>
    <t>领料出库单</t>
  </si>
  <si>
    <t>优化单据数据结构，增加记录平均单价(含税)、平均单价(去税) 
注：该字段在报表中体现</t>
  </si>
  <si>
    <t>领料明细报表</t>
  </si>
  <si>
    <t>增加平均单价(含税)、平均单价(去税)</t>
  </si>
  <si>
    <t>采购订单修改</t>
  </si>
  <si>
    <t>优化供应商为必填项，同时针对原材料供应商自动获取原供应商填充，避免添加数据供应商异常</t>
  </si>
  <si>
    <t>供应商管理</t>
  </si>
  <si>
    <t>列表显示供应商大类，注意供应商大类菜单权限配置</t>
  </si>
  <si>
    <t>叉车管理-用油记录</t>
  </si>
  <si>
    <t>优化界面和数据过滤
1、数据类型过滤：获取特种设备的车辆数据为“场(厂)内专用机动车辆-燃油”
2、平板新增“扫资产码”操作，可通过扫码方式自动选择叉车填写数据
3、优化界面交互显示效果，数据显示宽度增加</t>
  </si>
  <si>
    <t>仓管员交接班记录</t>
  </si>
  <si>
    <t>原材料退库取数优化，依据生产退库的班次早中晚匹配</t>
  </si>
  <si>
    <t>成品版本信息</t>
  </si>
  <si>
    <t>增加筛选搜索
产品名称：选择、物料编号：支持搜索版本物料编号/纸皮/热缩膜/空罐/顶盖、创建日期：日期区间</t>
  </si>
  <si>
    <t>纸皮版本信息</t>
  </si>
  <si>
    <t>增加筛选搜索
物料编号：条码搜索、产品类别：箱内码/无箱内码、可用状态：是/否启用、版本类型：促销版/非促销版、创建日期：日期区间</t>
  </si>
  <si>
    <t>空罐版本信息</t>
  </si>
  <si>
    <t>增加筛选搜索
空罐物料编号：条码搜索、顶盖物料编号：条码搜索、可用状态：是/否启用、版本类型：促销版/非促销版、创建日期：日期区间</t>
  </si>
  <si>
    <t>货品管理</t>
  </si>
  <si>
    <t>多单位填写基础单位比例允许小数位，最多3位</t>
  </si>
  <si>
    <t>入库送检记录</t>
  </si>
  <si>
    <t>热缩膜和纸皮推送品质建单规则更新
1、&lt;纸皮送检&gt;创建“纸皮进货检验报告”时，自动生成品质检验明细数
2、&lt;热缩膜送检&gt;创建“热缩膜检验报告”时，自动生成品质检验明细数</t>
  </si>
  <si>
    <t>咖啡因存料账卡记录</t>
  </si>
  <si>
    <t>1、增加反审操作，有权限人员可反审修改或删除单据
2、新增记录人签字，领用人签字</t>
  </si>
  <si>
    <t>盘点单</t>
  </si>
  <si>
    <t>针对3000条数据时显示卡顿问题，优化盘点单的数据显示交互</t>
  </si>
  <si>
    <t xml:space="preserve">原料期初期末库存查询 </t>
  </si>
  <si>
    <t>新增仓库类型选择：原材料仓库、在线库，原材料多仓库基地支持多选，仅原材料仓库进行计算可生产天数</t>
  </si>
  <si>
    <t>成品库存查询</t>
  </si>
  <si>
    <t>更新导出表格信息，按照【成品物料库存总表】【成品仓库库存总表】【成品批次库存明细表】进行拆分</t>
  </si>
  <si>
    <t>湖北基地-生产板块-2026年01月19日系统更新内容</t>
  </si>
  <si>
    <t>生产统计报表</t>
  </si>
  <si>
    <t>统一调整成按“订单日期”计算（之前是按生产日期）</t>
  </si>
  <si>
    <t>巡检工作记录</t>
  </si>
  <si>
    <t>新增“订单日期”</t>
  </si>
  <si>
    <t>配料工序记录</t>
  </si>
  <si>
    <t>生产作业记录</t>
  </si>
  <si>
    <t>生产订单</t>
  </si>
  <si>
    <t>① 新增订单时，增加“订单日期”、“生产单据”（下拉选项有：全部单据、配料外其他单据、仅配料单据。默认选中“全部单据”，支持修改）
② 检索栏：增加按“生产日期”、“订单日期”检索
③ 列表新增一列“订单日期”</t>
  </si>
  <si>
    <t>拆包工序</t>
  </si>
  <si>
    <t>灌装工序</t>
  </si>
  <si>
    <t>打码工序</t>
  </si>
  <si>
    <t>1 新增“订单日期”
2 批次合规校验（失焦后校验，不合规直接清空所填内容，同时toast提示：批次不合规，请重新输入）
  ① 普通红牛、战马
       前3位为数字，第4位大写字母为A到Z，第5位为大写字母跟产线一致。第6位及之后不做校验，例如普通红牛一线可以为001AA1（注：新增记录批次+1也只是针对前4位）
  ② 强化红牛
       前3位为数字，第4位大写字母为A到Z，第5位固定为Q。第6位及之后不做校验，例如强化红牛可以为001AQ1（注：新增记录批次+1也只是针对前4位）
  ③ 相邻两个批次的前4位连续，不允许中断
  ④ 同一大批次内批次唯一
3 冷却系统检查项目：增加“冷却系统检查”，默认为“有”。选择“无”时，该模块内的其他内容无
4 检测设备验证项目：增加“检测设备验证”，默认为“有”。选择“无”时，该模块内的其他内容无</t>
  </si>
  <si>
    <t>热缩工序</t>
  </si>
  <si>
    <t>包装工序</t>
  </si>
  <si>
    <t>码垛工序</t>
  </si>
  <si>
    <t>不合格品退库单</t>
  </si>
  <si>
    <t>新增“班次”</t>
  </si>
  <si>
    <t>湖北-质量板块-2026年01月19系统更新内容</t>
  </si>
  <si>
    <t>湖北-天平校准记录</t>
  </si>
  <si>
    <t>跟通用的区别在于：检验信息多了一个节点字段，另外每一个设备对应录入两行数据，一行称重前，一行称重后</t>
  </si>
  <si>
    <t>成品申请单</t>
  </si>
  <si>
    <t>成品送检信息增加字段“成品出库单号”审核以后通过创建的成品出库单返回，需要点击可以自动打开对应成品出库单</t>
  </si>
  <si>
    <t>原料质量异常处置</t>
  </si>
  <si>
    <t>在冻结仓储库存时，生成的库存明细优化调整</t>
  </si>
  <si>
    <t>停机及CIP检测项目</t>
  </si>
  <si>
    <t>“色度”及“电导率”项目增加“无需执行”按钮</t>
  </si>
  <si>
    <t>原料其它检验申请单</t>
  </si>
  <si>
    <t>基础信息和列表页增加“申请总重量”，根据明细中申请数量汇总自动算出</t>
  </si>
  <si>
    <t>内容物外检申请</t>
  </si>
  <si>
    <t>基础信息和列表页增加“申请总重量”，根据明细的取样总量汇总，不可修改；</t>
  </si>
  <si>
    <t>1、总罐数：改名为 “送检总罐数”，列表页也需要改名；
2、增加字段“申请总箱数”，列表页也需要增加该字段</t>
  </si>
  <si>
    <t>定量-成品检验结果</t>
  </si>
  <si>
    <t>1、检验结论和备注显示位置互换；
2、单据创建时：
①结论：默认写入“检验合格，同意出厂”
②备注：默认写入
强化红牛=“检验标准：按企业标准Q/HRRBD 0002J执行”
普通红牛=“检验标准：按企业标准Q/HRRBD 0001J执行”
战马=“检验标准：按企业标准Q/HRZHM 0001S执行”</t>
  </si>
  <si>
    <t>成品返工单</t>
  </si>
  <si>
    <t>化验员和化验员签名字段  改名为 提交人和提交人签名，根据点击提交的账号名称和对应签名写入</t>
  </si>
  <si>
    <t>半成品检验报告</t>
  </si>
  <si>
    <t>增加“订单日期”字段，显示年月日，数据来源“生产推送”；</t>
  </si>
  <si>
    <t>打码取样信息表</t>
  </si>
  <si>
    <t>增加订单日期，显示年月日；数据来源“生产推送”</t>
  </si>
  <si>
    <t>空气沉降检测</t>
  </si>
  <si>
    <t>1、车间：从只有广东基地显示  改为所有基地显示，然后福建和贵州基地默认选取一车间；
2、生产状态：从广东和福建基地显示  调整为  所有基地显示；
3、增加字段“区域名称”：验证信息中的区域名称去重，用“/”拼写;
4、列表页增加“车间、区域名称、生产状态字段”显示
4、增加查询条件“车间、生产状态”；</t>
  </si>
  <si>
    <t>浮游菌检测</t>
  </si>
  <si>
    <t>1、车间：从只有广东基地显示  改为所有基地显示，然后福建和贵州基地默认选取一车间；
2、增加字段“区域名称”：验证信息中的区域名称去重，用“/”拼写;
3、列表页增加“车间和区域名称字段”显示
4、增加查询条件“车间”；</t>
  </si>
  <si>
    <t>工序控制检验报告</t>
  </si>
  <si>
    <t>战马时显示的检验内容除标黄两处以外，其他的同广东红牛显示的项目一致</t>
  </si>
  <si>
    <t>工序卷封检验报告</t>
  </si>
  <si>
    <t>1、“换前制罐线别”和“制罐线别”字段只有红牛才显示
2、增加“换前空罐供应商。”空罐供应商“；只有战马时显示，需要可以自定义配置拉取</t>
  </si>
  <si>
    <t>内容物留样记录</t>
  </si>
  <si>
    <t>1、去掉品管称量人签名和品管复核人必填标识，改为确认时校验必填；
2、增加保存按钮：保存只保存信息不变更状态</t>
  </si>
  <si>
    <t>定期CIP检测报告</t>
  </si>
  <si>
    <t>自定义模版中增加10罐产品高温内压均值（MPa）字段和对应签名的拉取</t>
  </si>
  <si>
    <t>开机确认单</t>
  </si>
  <si>
    <t>灌装条件-空气沉降增加无需执行按钮</t>
  </si>
  <si>
    <t>定期CIP检测项目</t>
  </si>
  <si>
    <t>CIP-空气沉降增加无需执行按钮</t>
  </si>
  <si>
    <t>内容物信息及使用通知单</t>
  </si>
  <si>
    <t>附件需要支持能在线预览</t>
  </si>
  <si>
    <t>VB12称重记录</t>
  </si>
  <si>
    <t>自定义模版配置中缺少配方编号字段拉取配置</t>
  </si>
  <si>
    <t>样品检验报告</t>
  </si>
  <si>
    <t>工序取样量字段也需要加入到自定义模版中提供拉取配置</t>
  </si>
  <si>
    <t>成分分析检验报告</t>
  </si>
  <si>
    <t>增加“均值（不含CT）”，不计算CT数据，用来体现糖度保留1位小数，酸度保留2位小时；</t>
  </si>
  <si>
    <t>1、增加“异常标记人”和“异常时间”；2、增加送检状态“推送失败”；</t>
  </si>
  <si>
    <t>检测批号信息确认单</t>
  </si>
  <si>
    <t>手动新增单据获取批号信息时，把未送检条件 改为  未送检和推送失败都可以</t>
  </si>
  <si>
    <t>一级糖检验原始记录</t>
  </si>
  <si>
    <t>1、干物质含量%  改名为  乘上系数后的干物质含量%（20℃）
2、乘上系数后的干物质含量%（20℃）标题下增加一列，置灰自动根据前面输入的值乘以0.9862，四舍五入保留一位小数得出；
3、色值C，IU  此行的备注增加“系数0.9862”的描述语</t>
  </si>
  <si>
    <t>发货通知单</t>
  </si>
  <si>
    <t>1、待新增清单窗口优化调整，按批次分组显示；参考原材料-空罐进货检验报告的待新增清单窗口
2、备注字段显示位置调整到  检验信息下方；
3、待新增清单弹窗中点击合格、不合格、异常，跳转到查询数据状态的单据中；</t>
  </si>
  <si>
    <t>1、处置进度：增加“暂存”状态；
2、新增页面增加“保存”按钮，保存以后处置进度为暂存；
3、列表页的操作中增加“编辑”按钮，只能对暂存的数据进行操作；
4、查询条件：去掉隔离单号，隔离日期；
5、增加“处置进度、异常原料名称”的查询条件</t>
  </si>
  <si>
    <t>工序卷封报告</t>
  </si>
  <si>
    <t>自定义报告增加“换前的空罐线别、换前的空罐版本和换前的顶盖供应商”字段的拉取</t>
  </si>
  <si>
    <t>纸皮进货检验报告</t>
  </si>
  <si>
    <t>重量需要支持按Tab键上下切换</t>
  </si>
  <si>
    <t>确认时需要检查批号明细中时间前两位是否连贯，不连贯增加预警二次确认；特殊情况23后一个为00</t>
  </si>
  <si>
    <t>恒温培养箱使用记录</t>
  </si>
  <si>
    <t>1、湖北基地：隐藏掉“检测报告编号”字段的录入；
2、湖北基地：”室温“及”相对湿度“由必填调整为非必填。
3、“使用信息”添加项目数量调整为4个。
4、“培养种类”选项中：①枚举值中增加”CIP样品“、“水质”、”实验样品“
5、微生物检验项目增加枚举值：菌落总数48h、国标大肠菌群试验24h、大肠菌群确认试验48h、国标霉菌，酵母菌5d；其次微生物项目放开置灰限制让用户自己选取；
6、根据不同标准问题匹配对应枚举值供其选取：
①37℃微生物检测项目：
菌落总数、大肠菌群24h
菌落总数48h
国标大肠菌群试验24h
大肠菌群确认试验48h；
②25℃微生物检测项目：
国标霉菌，酵母菌5d
霉菌、酵母菌48h
7、列表页从一个单固定对应两行  改为 根据试用信息添加的项目数量显示对应的行数；</t>
  </si>
  <si>
    <t>增加“点击进入样品检验报告”按钮</t>
  </si>
  <si>
    <t>空罐进货检验报告</t>
  </si>
  <si>
    <t>复检合格区和复检不合格区需增加“复检信息”的描述</t>
  </si>
  <si>
    <t>异常原料对应物料编号</t>
  </si>
  <si>
    <t>新增基础信息</t>
  </si>
  <si>
    <t>处置节点=仓库巡检和生产领用查询库存明细的逻辑调整</t>
  </si>
  <si>
    <t>1、UV列后面新增图片列，需要支持拍照上直接上传和手动图片，以及在线预览和下载；
2、检验时间增加预警条件二：如果输入的检验时间大于送检时间30分钟，失焦以后自动触发预警弹窗；
3、检测时间预警提醒窗口优化调整：增加“送检时间和周转时间”列显示，周转时间=检测时间-送检时间
4、检验信息中检验员签名字段需要支持自定义模版拉取</t>
  </si>
  <si>
    <t>卷封投影仪校准记录表</t>
  </si>
  <si>
    <t>误差值需要支持录入负数</t>
  </si>
  <si>
    <t>成品隔离单</t>
  </si>
  <si>
    <t>1、发现信息栏
①、发现人员：取值调整为 选取具体用户，单选
②、如何发现：增加枚举值“人员岗位自检、互检、专检”三项</t>
  </si>
  <si>
    <t>工序异常记录</t>
  </si>
  <si>
    <t>1、异常描述栏
①、发现人员：取值调整为 选取具体用户，单选
②、如何发现：增加枚举值“人员岗位自检、互检、专检”三项</t>
  </si>
  <si>
    <t>下方保存数据按钮和签字提交按钮移至左上方按钮栏中；</t>
  </si>
  <si>
    <t>VB12配方出入库记录</t>
  </si>
  <si>
    <t>1、库存状态增加“退库”；由生产-VB12退品管单据审核通过后变更；
2、库存状态的查询条件也需要支持退库状态的查询
3、退库状态的库存明细也支持标记异常；</t>
  </si>
  <si>
    <t>VB12配方库存</t>
  </si>
  <si>
    <t>1、列表页增加“退库数量”：显示位置在异常数量后面，统计退库状态的出入库存明细
2、详情窗口：
①隐藏掉库存状态列；
②增加“异常数量”和“退库数量”的显示列</t>
  </si>
  <si>
    <t>湖北基地-设备板块-2026年01月19日系统更新内容</t>
  </si>
  <si>
    <t>设备保养-执行情况</t>
  </si>
  <si>
    <t>根据某个周期+执行人员统计各设备的保养次数</t>
  </si>
  <si>
    <t>设备保养-年度执行</t>
  </si>
  <si>
    <t>根据设备保养工单信息，以月度进行汇总执行次数</t>
  </si>
  <si>
    <t>设备点巡检-员工完成情况</t>
  </si>
  <si>
    <t>根据执行周期算出应执行次数，根据应执行次数与员工点巡检次数进行比较，得出完成率</t>
  </si>
  <si>
    <t>设备小程序</t>
  </si>
  <si>
    <t>设备综合管理中设备保养模块增加字段“上次执行时间”</t>
  </si>
  <si>
    <t>岗位交接相关单据</t>
  </si>
  <si>
    <t>增加“岗前检查”填写内容，例如：工器具/个人卫生/劳保穿戴/精神面貌/辖区卫生</t>
  </si>
  <si>
    <t>能源异常通知中心</t>
  </si>
  <si>
    <t>增加仪表用量预警功能，通过获取【&lt;基地用量定时汇总&gt;的数据】与【能源仪表配置中的班次/每日上限值】进行比对</t>
  </si>
  <si>
    <t>生产周期问题</t>
  </si>
  <si>
    <t>列表单据支持反审，产生备件更换的记录不支持反审，会影响备件使用数量的统计</t>
  </si>
  <si>
    <t>湖北基地-安全板块-2026年01月19日系统更新内容</t>
  </si>
  <si>
    <t>作业证管理</t>
  </si>
  <si>
    <r>
      <rPr>
        <color rgb="FF000000"/>
        <rFont val="微软雅黑"/>
        <sz val="14"/>
      </rPr>
      <t xml:space="preserve">1、审批流的显示把固定流程也显示在里面</t>
    </r>
    <r>
      <t xml:space="preserve">
</t>
    </r>
    <r>
      <rPr>
        <color rgb="FF000000"/>
        <rFont val="微软雅黑"/>
        <sz val="14"/>
      </rPr>
      <t xml:space="preserve">2、消息通知增加跳转链接</t>
    </r>
    <r>
      <t xml:space="preserve">
</t>
    </r>
    <r>
      <rPr>
        <color rgb="FF000000"/>
        <rFont val="微软雅黑"/>
        <sz val="14"/>
      </rPr>
      <t xml:space="preserve">3、操作证附件非必填，涉及单据：吊装作业许可证</t>
    </r>
    <r>
      <rPr>
        <color rgb="FF000000"/>
        <rFont val="微软雅黑"/>
        <sz val="14"/>
      </rPr>
      <t xml:space="preserve">、</t>
    </r>
    <r>
      <rPr>
        <color rgb="FF000000"/>
        <rFont val="微软雅黑"/>
        <sz val="14"/>
      </rPr>
      <t xml:space="preserve">有限空间安全作业证、动土安全作业证</t>
    </r>
  </si>
  <si>
    <t>特种设备台账</t>
  </si>
  <si>
    <t>厂内车辆下设备类别拆分：场(厂)内专用机动车辆-燃油、场(厂)内专用机动车辆-电瓶，注意勾选择对应的类型</t>
  </si>
  <si>
    <t>隐患整改单</t>
  </si>
  <si>
    <t>优化交互显示问题，当审批驳回后，详情页显示已填写的整改信息</t>
  </si>
  <si>
    <t>小程序扫码结果页</t>
  </si>
  <si>
    <t>消防器材扫码结果页显示“预计到期”日期</t>
  </si>
  <si>
    <t>访客登记</t>
  </si>
  <si>
    <t>新增核销情况，访客在停留时间内，可操作增加核销记录，确认入场和确认离开（该功能后续用于门卫核销）</t>
  </si>
  <si>
    <t>人事行政-2026年01月19日系统更新内容</t>
  </si>
  <si>
    <t>内训师认证报名</t>
  </si>
  <si>
    <t>PC端-功能路径【人事行政】-&gt;【人事管理】-&gt;【专项工作】-&gt;【内训师认证报名】【内训师认证考核】【内训师认证管理】
通过内训师管理模块，依托在线报名、考核评分、认证审核的规则设置，覆盖内训师从报名到认证的全流程，实现全生命周期管控。报名提交后依次完成考核评分、认证审核，形成完整流程闭环，认证通过后相关信息自动同步至员工档案，确保信息记录清晰规范。全流程线上化操作既方便内训师信息留档，又为后续数据统计提供精准支撑，提升内训师管理的规范性与效率。</t>
  </si>
  <si>
    <t>内训师认证考核</t>
  </si>
  <si>
    <t>小程序在线评分需要到1月30日更新到正式版本使用</t>
  </si>
  <si>
    <t>内训师认证管理</t>
  </si>
  <si>
    <t>环境卫生检查管理</t>
  </si>
  <si>
    <t>PC端-功能路径【人事行政】-&gt;【行政管理】-&gt;【基地事项】-&gt;【环境卫生检查管理】
通过配置标准化环境卫生检查项目完成规则预设，支持工作人员通过PC端及小程序双端在线开展园区卫生检查，实现“项目配置-在线巡检-结果记录”的完整流程闭环。检查数据实时同步归档，确保园区卫生状况记录清晰可溯，方便日常检查留档</t>
  </si>
  <si>
    <t>小程序在线提报卫生检查需要到1月30日更新到正式版本使用</t>
  </si>
  <si>
    <t>部门安全检查管理</t>
  </si>
  <si>
    <t>通过配置标准化部门安全检查项目完成规则预设，支持工作人员通过PC端及小程序双端在线开展部门安全检查，实现“项目配置-在线巡检-结果记录”的完整流程闭环。检查数据实时同步归档，确保部门安全隐患、整改情况记录清晰可溯，方便日常检查留档</t>
  </si>
  <si>
    <t>小程序在线提报安全加内存需要到1月30日更新到正式版本使用</t>
  </si>
  <si>
    <t>标准工时个人绩效</t>
  </si>
  <si>
    <t>审批过程中问题反馈、自我综合评价、绩效说明等信息支持修改</t>
  </si>
  <si>
    <t>优化统计人改为“被考核人”字段</t>
  </si>
  <si>
    <t>异动申请/定岗</t>
  </si>
  <si>
    <t>支持下个审批节点的人由上个审批节点人进行自选</t>
  </si>
  <si>
    <t>非生产性维修管理</t>
  </si>
  <si>
    <t>优化增加数据权限控制，各部门间数据隔离；隔离规则如下:
1.单据关联的【员工】只能看到自己相关的单据
2.单据的【创建人】只能看到自己相关的单据
3.按照【审批条件】、【审批节点人】、【抄送人】匹配，只能看到自己所在审批流程中的数据
4.涉及消息提醒的相关人员能看到对应的单据</t>
  </si>
  <si>
    <t>非生产性维修记录（贵州）</t>
  </si>
  <si>
    <t>荣誉大事记</t>
  </si>
  <si>
    <t>三会召开记录</t>
  </si>
  <si>
    <t>员工合理化建议</t>
  </si>
  <si>
    <t>湖北基地-财务板块-2026年01月19日系统更新内容</t>
  </si>
  <si>
    <t>湖北基地-基础板块-2026年01月19日系统更新内容</t>
  </si>
  <si>
    <t>外部账号管理</t>
  </si>
  <si>
    <t>角色配置增加，“设置角色权限”菜单，用于管理员配置角色可以选择的菜单权限，避免外部账号角色可以选择权限过多</t>
  </si>
  <si>
    <t>角色管理</t>
  </si>
  <si>
    <t>停用账号后，自动移除角色中绑定的账号人员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</si>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</sst>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sz val="12"/>
      <color rgb="FF000000"/>
      <name val="等线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  <fill>
      <patternFill patternType="solid">
        <fgColor rgb="FFB5C6E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6" fillId="0" borderId="0" xfId="0" applyFont="1">
      <alignment horizontal="left" vertical="center"/>
    </xf>
    <xf numFmtId="0" fontId="7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/>
    </xf>
    <xf numFmtId="0" fontId="8" fillId="2" borderId="1" xfId="0" applyFont="1" applyFill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10" fillId="3" borderId="1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11" fillId="5" borderId="1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10" fillId="3" borderId="2" xfId="0" applyFont="1" applyFill="1" applyBorder="1" applyProtection="1">
      <alignment horizontal="center" vertical="center"/>
    </xf>
    <xf numFmtId="0" fontId="11" fillId="4" borderId="3" xfId="0" applyFont="1" applyFill="1" applyBorder="1" applyProtection="1">
      <alignment horizontal="center" vertical="center"/>
    </xf>
    <xf numFmtId="0" fontId="9" fillId="0" borderId="4" xfId="0" applyFont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 wrapText="1"/>
    </xf>
    <xf numFmtId="0" fontId="5" fillId="0" borderId="0" xfId="0" applyFont="1">
      <alignment horizontal="general" vertical="center"/>
    </xf>
    <xf numFmtId="0" fontId="10" fillId="7" borderId="2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8" fillId="2" borderId="5" xfId="0" applyFont="1" applyFill="1" applyBorder="1" applyProtection="1">
      <alignment horizontal="center" vertical="center" wrapText="1"/>
    </xf>
    <xf numFmtId="0" fontId="8" fillId="2" borderId="6" xfId="0" applyFont="1" applyFill="1" applyBorder="1" applyProtection="1">
      <alignment horizontal="center" vertical="center" wrapText="1"/>
    </xf>
    <xf numFmtId="0" fontId="15" fillId="8" borderId="7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7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8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8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12" fillId="0" borderId="4" xfId="0" applyFont="1" applyBorder="1" applyProtection="1">
      <alignment horizontal="center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2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9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left" vertical="center" wrapText="1"/>
    </xf>
    <xf numFmtId="0" fontId="11" fillId="4" borderId="2" xfId="0" applyFont="1" applyFill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0" fillId="3" borderId="16" xfId="0" applyFont="1" applyFill="1" applyBorder="1" applyProtection="1">
      <alignment horizontal="center" vertical="center"/>
    </xf>
    <xf numFmtId="0" fontId="6" fillId="0" borderId="15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center" vertical="center" wrapText="1"/>
    </xf>
    <xf numFmtId="0" fontId="13" fillId="0" borderId="15" xfId="0" applyFont="1" applyBorder="1" applyProtection="1">
      <alignment horizontal="left" vertical="center"/>
    </xf>
    <xf numFmtId="0" fontId="6" fillId="0" borderId="15" xfId="0" applyFont="1" applyBorder="1" applyProtection="1">
      <alignment horizontal="center" vertical="center"/>
    </xf>
    <xf numFmtId="0" fontId="6" fillId="0" borderId="16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7" fillId="2" borderId="2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12" fillId="0" borderId="15" xfId="0" applyFont="1" applyBorder="1" applyProtection="1">
      <alignment horizontal="left" vertical="center"/>
    </xf>
    <xf numFmtId="0" fontId="14" fillId="0" borderId="0" xfId="0" applyFont="1">
      <alignment horizontal="general" vertical="center" wrapText="1"/>
    </xf>
    <xf numFmtId="0" fontId="12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5" borderId="1" xfId="0" applyFont="1" applyFill="1" applyBorder="1" applyProtection="1">
      <alignment horizontal="center" vertical="center" wrapText="1"/>
    </xf>
    <xf numFmtId="0" fontId="12" fillId="0" borderId="9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1" fillId="5" borderId="2" xfId="0" applyFont="1" applyFill="1" applyBorder="1" applyProtection="1">
      <alignment horizontal="center" vertical="center"/>
    </xf>
    <xf numFmtId="0" fontId="30" fillId="0" borderId="15" xfId="0" applyFont="1" applyBorder="1" applyProtection="1">
      <alignment horizontal="center" vertical="center"/>
    </xf>
    <xf numFmtId="0" fontId="31" fillId="0" borderId="1" xfId="0" applyFont="1" applyBorder="1" applyProtection="1">
      <alignment horizontal="general" vertical="center"/>
    </xf>
    <xf numFmtId="0" fontId="29" fillId="0" borderId="17" xfId="0" applyFont="1" applyBorder="1" applyProtection="1">
      <alignment horizontal="left" vertical="center" wrapText="1"/>
    </xf>
    <xf numFmtId="0" fontId="12" fillId="0" borderId="18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1" fillId="9" borderId="2" xfId="0" applyFont="1" applyFill="1" applyBorder="1" applyProtection="1">
      <alignment horizontal="center" vertical="center" wrapText="1"/>
    </xf>
    <xf numFmtId="0" fontId="32" fillId="0" borderId="19" xfId="0" applyFont="1" applyBorder="1" applyProtection="1">
      <alignment horizontal="left" vertical="center"/>
    </xf>
    <xf numFmtId="0" fontId="13" fillId="0" borderId="15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3" fillId="0" borderId="20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10" fillId="3" borderId="17" xfId="0" applyFont="1" applyFill="1" applyBorder="1" applyProtection="1">
      <alignment horizontal="center" vertical="center"/>
    </xf>
    <xf numFmtId="0" fontId="10" fillId="3" borderId="21" xfId="0" applyFont="1" applyFill="1" applyBorder="1" applyProtection="1">
      <alignment horizontal="center" vertical="center"/>
    </xf>
    <xf numFmtId="0" fontId="9" fillId="0" borderId="22" xfId="0" applyFont="1" applyBorder="1" applyProtection="1">
      <alignment horizontal="center" vertical="center"/>
    </xf>
    <xf numFmtId="0" fontId="10" fillId="3" borderId="3" xfId="0" applyFont="1" applyFill="1" applyBorder="1" applyProtection="1">
      <alignment horizontal="center" vertical="center"/>
    </xf>
    <xf numFmtId="0" fontId="12" fillId="0" borderId="18" xfId="0" applyFont="1" applyBorder="1" applyProtection="1">
      <alignment horizontal="center" vertical="center" wrapText="1"/>
    </xf>
    <xf numFmtId="0" fontId="10" fillId="3" borderId="23" xfId="0" applyFont="1" applyFill="1" applyBorder="1" applyProtection="1">
      <alignment horizontal="center" vertical="center"/>
    </xf>
    <xf numFmtId="0" fontId="5" fillId="0" borderId="4" xfId="0" applyFont="1" applyBorder="1" applyProtection="1">
      <alignment horizontal="general" vertical="center"/>
    </xf>
    <xf numFmtId="0" fontId="30" fillId="0" borderId="15" xfId="0" applyFont="1" applyBorder="1" applyProtection="1">
      <alignment horizontal="left" vertical="center"/>
    </xf>
    <xf numFmtId="0" fontId="30" fillId="0" borderId="16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/>
    </xf>
    <xf numFmtId="0" fontId="13" fillId="0" borderId="4" xfId="0" applyFont="1" applyBorder="1" applyProtection="1">
      <alignment horizontal="left" vertical="center" wrapText="1"/>
    </xf>
    <xf numFmtId="0" fontId="4" fillId="0" borderId="17" xfId="0" applyFont="1" applyBorder="1" applyProtection="1">
      <alignment vertical="center"/>
    </xf>
    <xf numFmtId="0" fontId="29" fillId="0" borderId="2" xfId="0" applyFont="1" applyBorder="1" applyProtection="1">
      <alignment horizontal="left" vertical="center" wrapText="1"/>
    </xf>
    <xf numFmtId="0" fontId="12" fillId="0" borderId="9" xfId="0" applyFont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5" xfId="0" applyFont="1" applyBorder="1" applyProtection="1">
      <alignment horizontal="left" vertical="center" wrapText="1"/>
    </xf>
    <xf numFmtId="0" fontId="38" fillId="0" borderId="15" xfId="0" applyFont="1" applyBorder="1" applyProtection="1">
      <alignment horizontal="left" vertical="center" wrapText="1"/>
    </xf>
    <xf numFmtId="0" fontId="39" fillId="0" borderId="15" xfId="0" applyFont="1" applyBorder="1" applyProtection="1">
      <alignment horizontal="left" vertical="center" wrapText="1"/>
    </xf>
    <xf numFmtId="0" fontId="40" fillId="0" borderId="15" xfId="0" applyFont="1" applyBorder="1" applyProtection="1">
      <alignment horizontal="left" vertical="center" wrapText="1"/>
    </xf>
    <xf numFmtId="0" fontId="41" fillId="0" borderId="15" xfId="0" applyFont="1" applyBorder="1" applyProtection="1">
      <alignment horizontal="left" vertical="center" wrapText="1"/>
    </xf>
    <xf numFmtId="0" fontId="42" fillId="0" borderId="15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1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2" xfId="0" applyFont="1" applyBorder="1" applyProtection="1">
      <alignment horizontal="left" vertical="center" wrapText="1"/>
    </xf>
    <xf numFmtId="0" fontId="62" fillId="0" borderId="1" xfId="0" applyFont="1" applyBorder="1" applyProtection="1">
      <alignment horizontal="left" vertical="center" wrapText="1"/>
    </xf>
    <xf numFmtId="0" fontId="63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1"/>
    <col min="2" max="2" width="10.3330078125" customWidth="1" style="31"/>
    <col min="3" max="3" width="12.83203125" customWidth="1" style="31"/>
    <col min="4" max="4" width="15" customWidth="1" style="31"/>
    <col min="5" max="5" width="13.5" customWidth="1" style="31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46041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46048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3" t="n">
        <v>1</v>
      </c>
      <c r="D6" s="64" t="n">
        <v>17</v>
      </c>
      <c r="E6" s="65" t="n">
        <f>D13+D6</f>
        <v>0</v>
      </c>
    </row>
    <row r="7" ht="13.5" customHeight="1">
      <c r="A7" s="47" t="n">
        <v>2</v>
      </c>
      <c r="B7" s="48" t="s">
        <v>11</v>
      </c>
      <c r="C7" s="63" t="n">
        <v>0</v>
      </c>
      <c r="D7" s="64" t="n">
        <v>12</v>
      </c>
      <c r="E7" s="65" t="n">
        <f>C7+D7</f>
        <v>12</v>
      </c>
    </row>
    <row r="8" ht="13.5" customHeight="1">
      <c r="A8" s="47" t="n">
        <v>3</v>
      </c>
      <c r="B8" s="48" t="s">
        <v>12</v>
      </c>
      <c r="C8" s="63" t="n">
        <v>0</v>
      </c>
      <c r="D8" s="64" t="n">
        <v>43</v>
      </c>
      <c r="E8" s="65" t="n">
        <f>C8+D8</f>
        <v>43</v>
      </c>
    </row>
    <row r="9" ht="13.5" customHeight="1">
      <c r="A9" s="47" t="n">
        <v>4</v>
      </c>
      <c r="B9" s="48" t="s">
        <v>13</v>
      </c>
      <c r="C9" s="63" t="n">
        <v>2</v>
      </c>
      <c r="D9" s="64" t="n">
        <v>5</v>
      </c>
      <c r="E9" s="65" t="n">
        <f>C9+D9</f>
        <v>7</v>
      </c>
    </row>
    <row r="10" ht="13.5" customHeight="1">
      <c r="A10" s="47" t="n">
        <v>5</v>
      </c>
      <c r="B10" s="48" t="s">
        <v>14</v>
      </c>
      <c r="C10" s="63" t="n">
        <v>0</v>
      </c>
      <c r="D10" s="64" t="n">
        <v>5</v>
      </c>
      <c r="E10" s="65" t="n">
        <f>C10+D10</f>
        <v>0</v>
      </c>
    </row>
    <row r="11" ht="13.5" customHeight="1">
      <c r="A11" s="47" t="n">
        <v>6</v>
      </c>
      <c r="B11" s="48" t="s">
        <v>15</v>
      </c>
      <c r="C11" s="63" t="n">
        <v>5</v>
      </c>
      <c r="D11" s="64" t="n">
        <v>8</v>
      </c>
      <c r="E11" s="65" t="n">
        <f>C11+D11</f>
        <v>0</v>
      </c>
    </row>
    <row r="12" ht="13.5" customHeight="1">
      <c r="A12" s="47" t="n">
        <v>7</v>
      </c>
      <c r="B12" s="48" t="s">
        <v>16</v>
      </c>
      <c r="C12" s="63" t="n">
        <v>0</v>
      </c>
      <c r="D12" s="64" t="n">
        <v>0</v>
      </c>
      <c r="E12" s="65" t="n">
        <f>C12+D12</f>
        <v>0</v>
      </c>
    </row>
    <row r="13" ht="13.5" customHeight="1">
      <c r="A13" s="47" t="n">
        <v>8</v>
      </c>
      <c r="B13" s="48" t="s">
        <v>17</v>
      </c>
      <c r="C13" s="63" t="n">
        <v>0</v>
      </c>
      <c r="D13" s="64" t="n">
        <v>2</v>
      </c>
      <c r="E13" s="65" t="n">
        <f>C13+D13</f>
        <v>0</v>
      </c>
    </row>
    <row r="14" ht="13.5" customHeight="1">
      <c r="A14" s="47" t="n">
        <v>9</v>
      </c>
      <c r="B14" s="48" t="s">
        <v>9</v>
      </c>
      <c r="C14" s="63" t="n">
        <f>D13+C7+C8+C9+C10+C11+C12+C13</f>
        <v>2</v>
      </c>
      <c r="D14" s="64" t="n">
        <f>D6+D7+D8+D9+D10+D11+D12+D13</f>
        <v>60</v>
      </c>
      <c r="E14" s="65" t="n">
        <f>C14+D14</f>
        <v>62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37" t="s">
        <v>20</v>
      </c>
      <c r="B17" s="53"/>
      <c r="C17" s="53"/>
      <c r="D17" s="53"/>
      <c r="E17" s="61"/>
    </row>
  </sheetData>
  <sheetProtection insertHyperlinks="0" autoFilter="0"/>
  <mergeCells count="10">
    <mergeCell ref="A2:B2"/>
    <mergeCell ref="A1:E1"/>
    <mergeCell ref="A17:E17"/>
    <mergeCell ref="A4:B4"/>
    <mergeCell ref="A16:E16"/>
    <mergeCell ref="C3:E3"/>
    <mergeCell ref="C2:E2"/>
    <mergeCell ref="A3:B3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84" t="s">
        <v>21</v>
      </c>
      <c r="B1" s="85"/>
      <c r="C1" s="85"/>
      <c r="D1" s="33"/>
      <c r="E1" s="32"/>
    </row>
    <row r="2" ht="26.25" customHeight="1">
      <c r="A2" s="13" t="s">
        <v>5</v>
      </c>
      <c r="B2" s="13" t="s">
        <v>22</v>
      </c>
      <c r="C2" s="13" t="s">
        <v>23</v>
      </c>
      <c r="D2" s="75" t="s">
        <v>24</v>
      </c>
      <c r="E2" s="22" t="s">
        <v>25</v>
      </c>
    </row>
    <row r="3" ht="40.5" customHeight="1">
      <c r="A3" s="28" t="n">
        <v>1</v>
      </c>
      <c r="B3" s="23" t="s">
        <v>26</v>
      </c>
      <c r="C3" s="62" t="s">
        <v>27</v>
      </c>
      <c r="D3" s="119" t="s">
        <v>28</v>
      </c>
      <c r="E3" s="103"/>
    </row>
    <row r="4" ht="75.75" customHeight="1">
      <c r="A4" s="24" t="n">
        <v>1</v>
      </c>
      <c r="B4" s="102" t="s">
        <v>29</v>
      </c>
      <c r="C4" s="95" t="s">
        <v>30</v>
      </c>
      <c r="D4" s="138" t="s">
        <v>31</v>
      </c>
      <c r="E4" s="79"/>
    </row>
    <row r="5" ht="75.75" customHeight="1">
      <c r="A5" s="24" t="n">
        <v>2</v>
      </c>
      <c r="B5" s="136"/>
      <c r="C5" s="95" t="s">
        <v>32</v>
      </c>
      <c r="D5" s="139" t="s">
        <v>33</v>
      </c>
      <c r="E5" s="80"/>
    </row>
    <row r="6" ht="38.25" customHeight="1">
      <c r="A6" s="24" t="n">
        <v>3</v>
      </c>
      <c r="B6" s="136"/>
      <c r="C6" s="95" t="s">
        <v>34</v>
      </c>
      <c r="D6" s="140" t="s">
        <v>35</v>
      </c>
      <c r="E6" s="80"/>
    </row>
    <row r="7" ht="20.25" customHeight="1">
      <c r="A7" s="24" t="n">
        <v>4</v>
      </c>
      <c r="B7" s="136"/>
      <c r="C7" s="95" t="s">
        <v>36</v>
      </c>
      <c r="D7" s="119" t="s">
        <v>37</v>
      </c>
      <c r="E7" s="80"/>
    </row>
    <row r="8" ht="20.25" customHeight="1">
      <c r="A8" s="24" t="n">
        <v>5</v>
      </c>
      <c r="B8" s="136"/>
      <c r="C8" s="77" t="s">
        <v>38</v>
      </c>
      <c r="D8" s="110" t="s">
        <v>39</v>
      </c>
      <c r="E8" s="80"/>
    </row>
    <row r="9" ht="20.25" customHeight="1">
      <c r="A9" s="24" t="n">
        <v>6</v>
      </c>
      <c r="B9" s="136"/>
      <c r="C9" s="77" t="s">
        <v>40</v>
      </c>
      <c r="D9" s="110" t="s">
        <v>41</v>
      </c>
      <c r="E9" s="80"/>
    </row>
    <row r="10" ht="75.75" customHeight="1">
      <c r="A10" s="24" t="n">
        <v>7</v>
      </c>
      <c r="B10" s="136"/>
      <c r="C10" s="77" t="s">
        <v>42</v>
      </c>
      <c r="D10" s="141" t="s">
        <v>43</v>
      </c>
      <c r="E10" s="80"/>
    </row>
    <row r="11" ht="20.25" customHeight="1">
      <c r="A11" s="24" t="n">
        <v>8</v>
      </c>
      <c r="B11" s="136"/>
      <c r="C11" s="77" t="s">
        <v>44</v>
      </c>
      <c r="D11" s="110" t="s">
        <v>45</v>
      </c>
      <c r="E11" s="80"/>
    </row>
    <row r="12" ht="38.25" customHeight="1">
      <c r="A12" s="24" t="n">
        <v>9</v>
      </c>
      <c r="B12" s="136"/>
      <c r="C12" s="77" t="s">
        <v>46</v>
      </c>
      <c r="D12" s="142" t="s">
        <v>47</v>
      </c>
      <c r="E12" s="80"/>
    </row>
    <row r="13" ht="38.25" customHeight="1">
      <c r="A13" s="24" t="n">
        <v>10</v>
      </c>
      <c r="B13" s="136"/>
      <c r="C13" s="77" t="s">
        <v>48</v>
      </c>
      <c r="D13" s="143" t="s">
        <v>49</v>
      </c>
      <c r="E13" s="80"/>
    </row>
    <row r="14" ht="38.25" customHeight="1">
      <c r="A14" s="24" t="n">
        <v>11</v>
      </c>
      <c r="B14" s="136"/>
      <c r="C14" s="77" t="s">
        <v>50</v>
      </c>
      <c r="D14" s="144" t="s">
        <v>51</v>
      </c>
      <c r="E14" s="80"/>
    </row>
    <row r="15" ht="20.25" customHeight="1">
      <c r="A15" s="24" t="n">
        <v>12</v>
      </c>
      <c r="B15" s="136"/>
      <c r="C15" s="77" t="s">
        <v>52</v>
      </c>
      <c r="D15" s="110" t="s">
        <v>53</v>
      </c>
      <c r="E15" s="80"/>
    </row>
    <row r="16" ht="57" customHeight="1">
      <c r="A16" s="24" t="n">
        <v>13</v>
      </c>
      <c r="B16" s="136"/>
      <c r="C16" s="77" t="s">
        <v>54</v>
      </c>
      <c r="D16" s="145" t="s">
        <v>55</v>
      </c>
      <c r="E16" s="80"/>
    </row>
    <row r="17" ht="38.25" customHeight="1">
      <c r="A17" s="24" t="n">
        <v>14</v>
      </c>
      <c r="B17" s="136"/>
      <c r="C17" s="77" t="s">
        <v>56</v>
      </c>
      <c r="D17" s="146" t="s">
        <v>57</v>
      </c>
      <c r="E17" s="80"/>
    </row>
    <row r="18" ht="20.25" customHeight="1">
      <c r="A18" s="24" t="n">
        <v>15</v>
      </c>
      <c r="B18" s="136"/>
      <c r="C18" s="77" t="s">
        <v>58</v>
      </c>
      <c r="D18" s="110" t="s">
        <v>59</v>
      </c>
      <c r="E18" s="80"/>
    </row>
    <row r="19" ht="20.25" customHeight="1">
      <c r="A19" s="24" t="n">
        <v>16</v>
      </c>
      <c r="B19" s="136"/>
      <c r="C19" s="77" t="s">
        <v>60</v>
      </c>
      <c r="D19" s="132" t="s">
        <v>61</v>
      </c>
      <c r="E19" s="30"/>
    </row>
    <row r="20" ht="20.25" customHeight="1">
      <c r="A20" s="24" t="n">
        <v>17</v>
      </c>
      <c r="B20" s="133"/>
      <c r="C20" s="77" t="s">
        <v>62</v>
      </c>
      <c r="D20" s="132" t="s">
        <v>63</v>
      </c>
      <c r="E20" s="30"/>
    </row>
  </sheetData>
  <sheetProtection insertHyperlinks="0" autoFilter="0"/>
  <mergeCells count="2">
    <mergeCell ref="A1:E1"/>
    <mergeCell ref="B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41.83203125" customWidth="1" style="8"/>
    <col min="5" max="5" width="47.4990234375" customWidth="1" style="7"/>
    <col min="6" max="40" width="10.998046875" style="29"/>
  </cols>
  <sheetData>
    <row r="1" s="29" customFormat="1" ht="51" customHeight="1">
      <c r="A1" s="9" t="s">
        <v>64</v>
      </c>
      <c r="B1" s="10"/>
      <c r="C1" s="10"/>
      <c r="D1" s="11"/>
      <c r="E1" s="10"/>
    </row>
    <row r="2" s="29" customFormat="1" ht="21.89999999999999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s="91" customFormat="1" ht="35.25" customHeight="1" hidden="1">
      <c r="A3" s="67" t="n">
        <v>1</v>
      </c>
      <c r="B3" s="87" t="s">
        <v>26</v>
      </c>
      <c r="C3" s="107"/>
      <c r="D3" s="99"/>
      <c r="E3" s="76"/>
    </row>
    <row r="4" s="91" customFormat="1" ht="18.75" customHeight="1">
      <c r="A4" s="67" t="n">
        <v>1</v>
      </c>
      <c r="B4" s="94" t="s">
        <v>29</v>
      </c>
      <c r="C4" s="92" t="s">
        <v>65</v>
      </c>
      <c r="D4" s="105" t="s">
        <v>66</v>
      </c>
      <c r="E4" s="93"/>
    </row>
    <row r="5" s="91" customFormat="1" ht="18.75" customHeight="1">
      <c r="A5" s="67" t="n">
        <v>2</v>
      </c>
      <c r="B5" s="94"/>
      <c r="C5" s="92" t="s">
        <v>67</v>
      </c>
      <c r="D5" s="111" t="s">
        <v>68</v>
      </c>
      <c r="E5" s="93"/>
    </row>
    <row r="6" s="91" customFormat="1" ht="18.75" customHeight="1">
      <c r="A6" s="67" t="n">
        <v>3</v>
      </c>
      <c r="B6" s="94"/>
      <c r="C6" s="92" t="s">
        <v>69</v>
      </c>
      <c r="D6" s="81" t="s">
        <v>68</v>
      </c>
      <c r="E6" s="93"/>
    </row>
    <row r="7" s="91" customFormat="1" ht="18.75" customHeight="1">
      <c r="A7" s="67" t="n">
        <v>4</v>
      </c>
      <c r="B7" s="94"/>
      <c r="C7" s="92" t="s">
        <v>70</v>
      </c>
      <c r="D7" s="112" t="s">
        <v>68</v>
      </c>
      <c r="E7" s="93"/>
    </row>
    <row r="8" s="91" customFormat="1" ht="57" customHeight="1">
      <c r="A8" s="67" t="n">
        <v>5</v>
      </c>
      <c r="B8" s="94"/>
      <c r="C8" s="92" t="s">
        <v>71</v>
      </c>
      <c r="D8" s="147" t="s">
        <v>72</v>
      </c>
      <c r="E8" s="93"/>
    </row>
    <row r="9" s="91" customFormat="1" ht="18.75" customHeight="1">
      <c r="A9" s="67" t="n">
        <v>6</v>
      </c>
      <c r="B9" s="94"/>
      <c r="C9" s="92" t="s">
        <v>73</v>
      </c>
      <c r="D9" s="97" t="s">
        <v>68</v>
      </c>
      <c r="E9" s="93"/>
    </row>
    <row r="10" s="91" customFormat="1" ht="18.75" customHeight="1">
      <c r="A10" s="67" t="n">
        <v>7</v>
      </c>
      <c r="B10" s="94"/>
      <c r="C10" s="92" t="s">
        <v>74</v>
      </c>
      <c r="D10" s="114" t="s">
        <v>68</v>
      </c>
      <c r="E10" s="93"/>
    </row>
    <row r="11" s="91" customFormat="1" ht="225.75" customHeight="1">
      <c r="A11" s="67" t="n">
        <v>8</v>
      </c>
      <c r="B11" s="94"/>
      <c r="C11" s="92" t="s">
        <v>75</v>
      </c>
      <c r="D11" s="148" t="s">
        <v>76</v>
      </c>
      <c r="E11" s="93"/>
    </row>
    <row r="12" s="91" customFormat="1" ht="18.75" customHeight="1">
      <c r="A12" s="67" t="n">
        <v>9</v>
      </c>
      <c r="B12" s="94"/>
      <c r="C12" s="92" t="s">
        <v>77</v>
      </c>
      <c r="D12" s="115" t="s">
        <v>68</v>
      </c>
      <c r="E12" s="93"/>
    </row>
    <row r="13" s="91" customFormat="1" ht="18.75" customHeight="1">
      <c r="A13" s="67" t="n">
        <v>10</v>
      </c>
      <c r="B13" s="94"/>
      <c r="C13" s="92" t="s">
        <v>78</v>
      </c>
      <c r="D13" s="98" t="s">
        <v>68</v>
      </c>
      <c r="E13" s="93"/>
    </row>
    <row r="14" s="91" customFormat="1" ht="18.75" customHeight="1">
      <c r="A14" s="67" t="n">
        <v>11</v>
      </c>
      <c r="B14" s="94"/>
      <c r="C14" s="92" t="s">
        <v>79</v>
      </c>
      <c r="D14" s="116" t="s">
        <v>68</v>
      </c>
      <c r="E14" s="93"/>
    </row>
    <row r="15" s="91" customFormat="1" ht="18.75" customHeight="1">
      <c r="A15" s="67" t="n">
        <v>12</v>
      </c>
      <c r="B15" s="94"/>
      <c r="C15" s="92" t="s">
        <v>80</v>
      </c>
      <c r="D15" s="117" t="s">
        <v>81</v>
      </c>
      <c r="E15" s="93"/>
    </row>
  </sheetData>
  <sheetProtection insertHyperlinks="0" autoFilter="0"/>
  <mergeCells count="2">
    <mergeCell ref="A1:E1"/>
    <mergeCell ref="B4:B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7.5" customWidth="1" style="7"/>
    <col min="4" max="4" width="113.1650390625" customWidth="1" style="8"/>
    <col min="5" max="5" width="38.8330078125" customWidth="1" style="7"/>
  </cols>
  <sheetData>
    <row r="1" ht="45" customHeight="1">
      <c r="A1" s="25" t="s">
        <v>82</v>
      </c>
      <c r="B1" s="26"/>
      <c r="C1" s="69"/>
      <c r="D1" s="26"/>
      <c r="E1" s="26"/>
    </row>
    <row r="2" ht="22.5" customHeight="1">
      <c r="A2" s="22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 hidden="1">
      <c r="A3" s="70"/>
      <c r="B3" s="73" t="s">
        <v>26</v>
      </c>
      <c r="C3" s="71"/>
      <c r="D3" s="72"/>
      <c r="E3" s="74"/>
    </row>
    <row r="4" ht="20.25" customHeight="1">
      <c r="A4" s="67" t="n">
        <v>1</v>
      </c>
      <c r="B4" s="108" t="s">
        <v>29</v>
      </c>
      <c r="C4" s="19" t="s">
        <v>83</v>
      </c>
      <c r="D4" s="101" t="s">
        <v>84</v>
      </c>
      <c r="E4" s="35"/>
    </row>
    <row r="5" ht="38.25" customHeight="1">
      <c r="A5" s="67" t="n">
        <v>2</v>
      </c>
      <c r="B5" s="136"/>
      <c r="C5" s="19" t="s">
        <v>85</v>
      </c>
      <c r="D5" s="119" t="s">
        <v>86</v>
      </c>
      <c r="E5" s="35"/>
    </row>
    <row r="6" ht="20.25" customHeight="1">
      <c r="A6" s="67" t="n">
        <v>3</v>
      </c>
      <c r="B6" s="136"/>
      <c r="C6" s="19" t="s">
        <v>87</v>
      </c>
      <c r="D6" s="119" t="s">
        <v>88</v>
      </c>
      <c r="E6" s="35"/>
    </row>
    <row r="7" ht="20.25" customHeight="1">
      <c r="A7" s="67" t="n">
        <v>4</v>
      </c>
      <c r="B7" s="136"/>
      <c r="C7" s="19" t="s">
        <v>89</v>
      </c>
      <c r="D7" s="119" t="s">
        <v>90</v>
      </c>
      <c r="E7" s="35"/>
    </row>
    <row r="8" ht="20.25" customHeight="1">
      <c r="A8" s="67" t="n">
        <v>5</v>
      </c>
      <c r="B8" s="136"/>
      <c r="C8" s="19" t="s">
        <v>91</v>
      </c>
      <c r="D8" s="119" t="s">
        <v>92</v>
      </c>
      <c r="E8" s="35"/>
    </row>
    <row r="9" ht="20.25" customHeight="1">
      <c r="A9" s="67" t="n">
        <v>6</v>
      </c>
      <c r="B9" s="136"/>
      <c r="C9" s="19" t="s">
        <v>93</v>
      </c>
      <c r="D9" s="119" t="s">
        <v>94</v>
      </c>
      <c r="E9" s="35"/>
    </row>
    <row r="10" ht="57" customHeight="1">
      <c r="A10" s="67" t="n">
        <v>7</v>
      </c>
      <c r="B10" s="136"/>
      <c r="C10" s="19" t="s">
        <v>85</v>
      </c>
      <c r="D10" s="149" t="s">
        <v>95</v>
      </c>
      <c r="E10" s="35"/>
    </row>
    <row r="11" ht="244.5" customHeight="1">
      <c r="A11" s="67" t="n">
        <v>8</v>
      </c>
      <c r="B11" s="136"/>
      <c r="C11" s="19" t="s">
        <v>96</v>
      </c>
      <c r="D11" s="150" t="s">
        <v>97</v>
      </c>
      <c r="E11" s="35"/>
    </row>
    <row r="12" ht="20.25" customHeight="1">
      <c r="A12" s="67" t="n">
        <v>9</v>
      </c>
      <c r="B12" s="136"/>
      <c r="C12" s="19" t="s">
        <v>98</v>
      </c>
      <c r="D12" s="119" t="s">
        <v>99</v>
      </c>
      <c r="E12" s="35"/>
    </row>
    <row r="13" ht="20.25" customHeight="1">
      <c r="A13" s="67" t="n">
        <v>10</v>
      </c>
      <c r="B13" s="136"/>
      <c r="C13" s="19" t="s">
        <v>100</v>
      </c>
      <c r="D13" s="119" t="s">
        <v>101</v>
      </c>
      <c r="E13" s="35"/>
    </row>
    <row r="14" ht="20.25" customHeight="1">
      <c r="A14" s="67" t="n">
        <v>11</v>
      </c>
      <c r="B14" s="136"/>
      <c r="C14" s="19" t="s">
        <v>102</v>
      </c>
      <c r="D14" s="119" t="s">
        <v>103</v>
      </c>
      <c r="E14" s="35"/>
    </row>
    <row r="15" ht="169.5" customHeight="1">
      <c r="A15" s="67" t="n">
        <v>12</v>
      </c>
      <c r="B15" s="136"/>
      <c r="C15" s="19" t="s">
        <v>104</v>
      </c>
      <c r="D15" s="151" t="s">
        <v>105</v>
      </c>
      <c r="E15" s="35"/>
    </row>
    <row r="16" ht="132" customHeight="1">
      <c r="A16" s="67" t="n">
        <v>13</v>
      </c>
      <c r="B16" s="136"/>
      <c r="C16" s="19" t="s">
        <v>106</v>
      </c>
      <c r="D16" s="152" t="s">
        <v>107</v>
      </c>
      <c r="E16" s="35"/>
    </row>
    <row r="17" ht="20.25" customHeight="1">
      <c r="A17" s="67" t="n">
        <v>14</v>
      </c>
      <c r="B17" s="136"/>
      <c r="C17" s="19" t="s">
        <v>108</v>
      </c>
      <c r="D17" s="119" t="s">
        <v>109</v>
      </c>
      <c r="E17" s="35"/>
    </row>
    <row r="18" ht="57" customHeight="1">
      <c r="A18" s="67" t="n">
        <v>15</v>
      </c>
      <c r="B18" s="136"/>
      <c r="C18" s="19" t="s">
        <v>110</v>
      </c>
      <c r="D18" s="153" t="s">
        <v>111</v>
      </c>
      <c r="E18" s="35"/>
    </row>
    <row r="19" ht="57" customHeight="1">
      <c r="A19" s="67" t="n">
        <v>16</v>
      </c>
      <c r="B19" s="136"/>
      <c r="C19" s="19" t="s">
        <v>112</v>
      </c>
      <c r="D19" s="154" t="s">
        <v>113</v>
      </c>
      <c r="E19" s="35"/>
    </row>
    <row r="20" ht="20.25" customHeight="1">
      <c r="A20" s="67" t="n">
        <v>17</v>
      </c>
      <c r="B20" s="136"/>
      <c r="C20" s="19" t="s">
        <v>114</v>
      </c>
      <c r="D20" s="119" t="s">
        <v>115</v>
      </c>
      <c r="E20" s="93"/>
    </row>
    <row r="21" ht="20.25" customHeight="1">
      <c r="A21" s="67" t="n">
        <v>18</v>
      </c>
      <c r="B21" s="136"/>
      <c r="C21" s="19" t="s">
        <v>116</v>
      </c>
      <c r="D21" s="119" t="s">
        <v>117</v>
      </c>
      <c r="E21" s="104"/>
    </row>
    <row r="22" ht="20.25" customHeight="1">
      <c r="A22" s="67" t="n">
        <v>19</v>
      </c>
      <c r="B22" s="136"/>
      <c r="C22" s="19" t="s">
        <v>118</v>
      </c>
      <c r="D22" s="119" t="s">
        <v>119</v>
      </c>
      <c r="E22" s="104"/>
    </row>
    <row r="23" ht="20.25" customHeight="1">
      <c r="A23" s="67" t="n">
        <v>20</v>
      </c>
      <c r="B23" s="136"/>
      <c r="C23" s="19" t="s">
        <v>120</v>
      </c>
      <c r="D23" s="119" t="s">
        <v>121</v>
      </c>
      <c r="E23" s="104"/>
    </row>
    <row r="24" ht="20.25" customHeight="1">
      <c r="A24" s="67" t="n">
        <v>21</v>
      </c>
      <c r="B24" s="136"/>
      <c r="C24" s="19" t="s">
        <v>122</v>
      </c>
      <c r="D24" s="119" t="s">
        <v>123</v>
      </c>
      <c r="E24" s="104"/>
    </row>
    <row r="25" ht="20.25" customHeight="1">
      <c r="A25" s="67" t="n">
        <v>22</v>
      </c>
      <c r="B25" s="136"/>
      <c r="C25" s="19" t="s">
        <v>124</v>
      </c>
      <c r="D25" s="119" t="s">
        <v>125</v>
      </c>
      <c r="E25" s="104"/>
    </row>
    <row r="26" ht="20.25" customHeight="1">
      <c r="A26" s="67" t="n">
        <v>23</v>
      </c>
      <c r="B26" s="136"/>
      <c r="C26" s="19" t="s">
        <v>126</v>
      </c>
      <c r="D26" s="119" t="s">
        <v>127</v>
      </c>
      <c r="E26" s="104"/>
    </row>
    <row r="27" ht="20.25" customHeight="1">
      <c r="A27" s="67" t="n">
        <v>24</v>
      </c>
      <c r="B27" s="136"/>
      <c r="C27" s="19" t="s">
        <v>102</v>
      </c>
      <c r="D27" s="119" t="s">
        <v>128</v>
      </c>
      <c r="E27" s="104"/>
    </row>
    <row r="28" ht="20.25" customHeight="1">
      <c r="A28" s="67" t="n">
        <v>25</v>
      </c>
      <c r="B28" s="136"/>
      <c r="C28" s="19" t="s">
        <v>129</v>
      </c>
      <c r="D28" s="119" t="s">
        <v>130</v>
      </c>
      <c r="E28" s="104"/>
    </row>
    <row r="29" ht="113.25" customHeight="1">
      <c r="A29" s="67" t="n">
        <v>26</v>
      </c>
      <c r="B29" s="136"/>
      <c r="C29" s="19" t="s">
        <v>131</v>
      </c>
      <c r="D29" s="155" t="s">
        <v>132</v>
      </c>
      <c r="E29" s="104"/>
    </row>
    <row r="30" ht="94.5" customHeight="1">
      <c r="A30" s="67" t="n">
        <v>27</v>
      </c>
      <c r="B30" s="136"/>
      <c r="C30" s="19" t="s">
        <v>133</v>
      </c>
      <c r="D30" s="156" t="s">
        <v>134</v>
      </c>
      <c r="E30" s="104"/>
    </row>
    <row r="31" ht="169.5" customHeight="1">
      <c r="A31" s="67" t="n">
        <v>28</v>
      </c>
      <c r="B31" s="136"/>
      <c r="C31" s="19" t="s">
        <v>87</v>
      </c>
      <c r="D31" s="157" t="s">
        <v>135</v>
      </c>
      <c r="E31" s="104"/>
    </row>
    <row r="32" ht="20.25" customHeight="1">
      <c r="A32" s="67" t="n">
        <v>29</v>
      </c>
      <c r="B32" s="136"/>
      <c r="C32" s="19" t="s">
        <v>136</v>
      </c>
      <c r="D32" s="119" t="s">
        <v>137</v>
      </c>
      <c r="E32" s="104"/>
    </row>
    <row r="33" ht="20.25" customHeight="1">
      <c r="A33" s="67" t="n">
        <v>30</v>
      </c>
      <c r="B33" s="136"/>
      <c r="C33" s="19" t="s">
        <v>138</v>
      </c>
      <c r="D33" s="119" t="s">
        <v>139</v>
      </c>
      <c r="E33" s="104"/>
    </row>
    <row r="34" ht="20.25" customHeight="1">
      <c r="A34" s="67" t="n">
        <v>31</v>
      </c>
      <c r="B34" s="136"/>
      <c r="C34" s="19" t="s">
        <v>129</v>
      </c>
      <c r="D34" s="119" t="s">
        <v>140</v>
      </c>
      <c r="E34" s="104"/>
    </row>
    <row r="35" ht="315" customHeight="1">
      <c r="A35" s="67" t="n">
        <v>32</v>
      </c>
      <c r="B35" s="136"/>
      <c r="C35" s="19" t="s">
        <v>141</v>
      </c>
      <c r="D35" s="158" t="s">
        <v>142</v>
      </c>
      <c r="E35" s="104"/>
    </row>
    <row r="36" ht="20.25" customHeight="1">
      <c r="A36" s="67" t="n">
        <v>33</v>
      </c>
      <c r="B36" s="136"/>
      <c r="C36" s="19" t="s">
        <v>108</v>
      </c>
      <c r="D36" s="119" t="s">
        <v>143</v>
      </c>
      <c r="E36" s="104"/>
    </row>
    <row r="37" ht="20.25" customHeight="1">
      <c r="A37" s="67" t="n">
        <v>34</v>
      </c>
      <c r="B37" s="136"/>
      <c r="C37" s="19" t="s">
        <v>144</v>
      </c>
      <c r="D37" s="119" t="s">
        <v>145</v>
      </c>
      <c r="E37" s="104"/>
    </row>
    <row r="38" ht="20.25" customHeight="1">
      <c r="A38" s="67" t="n">
        <v>35</v>
      </c>
      <c r="B38" s="136"/>
      <c r="C38" s="19" t="s">
        <v>146</v>
      </c>
      <c r="D38" s="119" t="s">
        <v>147</v>
      </c>
      <c r="E38" s="104"/>
    </row>
    <row r="39" ht="20.25" customHeight="1">
      <c r="A39" s="67" t="n">
        <v>36</v>
      </c>
      <c r="B39" s="136"/>
      <c r="C39" s="19" t="s">
        <v>87</v>
      </c>
      <c r="D39" s="119" t="s">
        <v>148</v>
      </c>
      <c r="E39" s="104"/>
    </row>
    <row r="40" ht="132" customHeight="1">
      <c r="A40" s="67" t="n">
        <v>37</v>
      </c>
      <c r="B40" s="136"/>
      <c r="C40" s="19" t="s">
        <v>100</v>
      </c>
      <c r="D40" s="159" t="s">
        <v>149</v>
      </c>
      <c r="E40" s="104"/>
    </row>
    <row r="41" ht="20.25" customHeight="1">
      <c r="A41" s="67" t="n">
        <v>38</v>
      </c>
      <c r="B41" s="136"/>
      <c r="C41" s="19" t="s">
        <v>150</v>
      </c>
      <c r="D41" s="119" t="s">
        <v>151</v>
      </c>
      <c r="E41" s="104"/>
    </row>
    <row r="42" ht="94.5" customHeight="1">
      <c r="A42" s="67" t="n">
        <v>39</v>
      </c>
      <c r="B42" s="136"/>
      <c r="C42" s="19" t="s">
        <v>152</v>
      </c>
      <c r="D42" s="160" t="s">
        <v>153</v>
      </c>
      <c r="E42" s="104"/>
    </row>
    <row r="43" ht="94.5" customHeight="1">
      <c r="A43" s="67" t="n">
        <v>40</v>
      </c>
      <c r="B43" s="136"/>
      <c r="C43" s="19" t="s">
        <v>154</v>
      </c>
      <c r="D43" s="161" t="s">
        <v>155</v>
      </c>
      <c r="E43" s="104"/>
    </row>
    <row r="44" ht="20.25" customHeight="1">
      <c r="A44" s="67" t="n">
        <v>41</v>
      </c>
      <c r="B44" s="136"/>
      <c r="C44" s="19" t="s">
        <v>122</v>
      </c>
      <c r="D44" s="119" t="s">
        <v>156</v>
      </c>
      <c r="E44" s="104"/>
    </row>
    <row r="45" ht="94.5" customHeight="1">
      <c r="A45" s="67" t="n">
        <v>42</v>
      </c>
      <c r="B45" s="136"/>
      <c r="C45" s="19" t="s">
        <v>157</v>
      </c>
      <c r="D45" s="162" t="s">
        <v>158</v>
      </c>
      <c r="E45" s="104"/>
    </row>
    <row r="46" ht="132" customHeight="1">
      <c r="A46" s="67" t="n">
        <v>43</v>
      </c>
      <c r="B46" s="136"/>
      <c r="C46" s="19" t="s">
        <v>159</v>
      </c>
      <c r="D46" s="163" t="s">
        <v>160</v>
      </c>
      <c r="E46" s="104"/>
    </row>
  </sheetData>
  <sheetProtection insertHyperlinks="0" autoFilter="0"/>
  <mergeCells count="2">
    <mergeCell ref="A1:E1"/>
    <mergeCell ref="B4:B4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161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9.75" customHeight="1">
      <c r="A3" s="28" t="n">
        <v>1</v>
      </c>
      <c r="B3" s="87" t="s">
        <v>26</v>
      </c>
      <c r="C3" s="88" t="s">
        <v>162</v>
      </c>
      <c r="D3" s="117" t="s">
        <v>163</v>
      </c>
      <c r="E3" s="34"/>
    </row>
    <row r="4" ht="20.25" customHeight="1">
      <c r="A4" s="28" t="n">
        <v>2</v>
      </c>
      <c r="B4" s="87"/>
      <c r="C4" s="88" t="s">
        <v>164</v>
      </c>
      <c r="D4" s="117" t="s">
        <v>165</v>
      </c>
      <c r="E4" s="34"/>
    </row>
    <row r="5" ht="20.25" customHeight="1">
      <c r="A5" s="24" t="n">
        <v>1</v>
      </c>
      <c r="B5" s="102" t="s">
        <v>29</v>
      </c>
      <c r="C5" s="89" t="s">
        <v>166</v>
      </c>
      <c r="D5" s="117" t="s">
        <v>167</v>
      </c>
      <c r="E5" s="30"/>
    </row>
    <row r="6" ht="20.25" customHeight="1">
      <c r="A6" s="24" t="n">
        <v>2</v>
      </c>
      <c r="B6" s="136"/>
      <c r="C6" s="89" t="s">
        <v>168</v>
      </c>
      <c r="D6" s="117" t="s">
        <v>169</v>
      </c>
      <c r="E6" s="30"/>
    </row>
    <row r="7" ht="20.25" customHeight="1">
      <c r="A7" s="24" t="n">
        <v>3</v>
      </c>
      <c r="B7" s="136"/>
      <c r="C7" s="90" t="s">
        <v>170</v>
      </c>
      <c r="D7" s="134" t="s">
        <v>171</v>
      </c>
      <c r="E7" s="86"/>
    </row>
    <row r="8" ht="20.25" customHeight="1">
      <c r="A8" s="24" t="n">
        <v>4</v>
      </c>
      <c r="B8" s="136"/>
      <c r="C8" s="135" t="s">
        <v>172</v>
      </c>
      <c r="D8" s="117" t="s">
        <v>173</v>
      </c>
      <c r="E8" s="30"/>
    </row>
    <row r="9" ht="20.25" customHeight="1">
      <c r="A9" s="24" t="n">
        <v>5</v>
      </c>
      <c r="B9" s="133"/>
      <c r="C9" s="135" t="s">
        <v>174</v>
      </c>
      <c r="D9" s="117" t="s">
        <v>175</v>
      </c>
      <c r="E9" s="30"/>
    </row>
  </sheetData>
  <sheetProtection insertHyperlinks="0" autoFilter="0"/>
  <mergeCells count="3">
    <mergeCell ref="A1:E1"/>
    <mergeCell ref="B3:B4"/>
    <mergeCell ref="B5:B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176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56.25" customHeight="1">
      <c r="A3" s="24" t="n">
        <v>1</v>
      </c>
      <c r="B3" s="102" t="s">
        <v>29</v>
      </c>
      <c r="C3" s="77" t="s">
        <v>177</v>
      </c>
      <c r="D3" s="164" t="s">
        <v>178</v>
      </c>
      <c r="E3" s="30"/>
    </row>
    <row r="4" ht="25.5" customHeight="1">
      <c r="A4" s="24" t="n">
        <v>2</v>
      </c>
      <c r="B4" s="136"/>
      <c r="C4" s="77" t="s">
        <v>179</v>
      </c>
      <c r="D4" s="100" t="s">
        <v>180</v>
      </c>
      <c r="E4" s="30"/>
    </row>
    <row r="5" ht="30.75" customHeight="1">
      <c r="A5" s="24" t="n">
        <v>3</v>
      </c>
      <c r="B5" s="136"/>
      <c r="C5" s="77" t="s">
        <v>181</v>
      </c>
      <c r="D5" s="72" t="s">
        <v>182</v>
      </c>
      <c r="E5" s="86"/>
    </row>
    <row r="6" ht="30" customHeight="1">
      <c r="A6" s="124" t="n">
        <v>4</v>
      </c>
      <c r="B6" s="136"/>
      <c r="C6" s="126" t="s">
        <v>183</v>
      </c>
      <c r="D6" s="72" t="s">
        <v>184</v>
      </c>
      <c r="E6" s="86"/>
    </row>
    <row r="7" ht="20.25" customHeight="1">
      <c r="A7" s="24" t="n">
        <v>5</v>
      </c>
      <c r="B7" s="133"/>
      <c r="C7" s="19" t="s">
        <v>185</v>
      </c>
      <c r="D7" s="119" t="s">
        <v>186</v>
      </c>
      <c r="E7" s="30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6.8310546875" customWidth="1" style="7"/>
    <col min="4" max="4" width="161.4990234375" customWidth="1" style="8"/>
    <col min="5" max="5" width="68.1240234375" customWidth="1" style="7"/>
  </cols>
  <sheetData>
    <row r="1" ht="51" customHeight="1">
      <c r="A1" s="9" t="s">
        <v>187</v>
      </c>
      <c r="B1" s="10"/>
      <c r="C1" s="10"/>
      <c r="D1" s="11"/>
      <c r="E1" s="10"/>
    </row>
    <row r="2" ht="32.5" customHeight="1">
      <c r="A2" s="122" t="s">
        <v>5</v>
      </c>
      <c r="B2" s="122" t="s">
        <v>22</v>
      </c>
      <c r="C2" s="123" t="s">
        <v>23</v>
      </c>
      <c r="D2" s="125" t="s">
        <v>24</v>
      </c>
      <c r="E2" s="127" t="s">
        <v>25</v>
      </c>
    </row>
    <row r="3" ht="48" customHeight="1">
      <c r="A3" s="28" t="n">
        <v>1</v>
      </c>
      <c r="B3" s="23" t="s">
        <v>26</v>
      </c>
      <c r="C3" s="62" t="s">
        <v>188</v>
      </c>
      <c r="D3" s="165" t="s">
        <v>189</v>
      </c>
      <c r="E3" s="103"/>
    </row>
    <row r="4" ht="48" customHeight="1">
      <c r="A4" s="28" t="n">
        <v>2</v>
      </c>
      <c r="B4" s="23"/>
      <c r="C4" s="62" t="s">
        <v>190</v>
      </c>
      <c r="D4" s="136"/>
      <c r="E4" s="129" t="s">
        <v>191</v>
      </c>
    </row>
    <row r="5" ht="48" customHeight="1">
      <c r="A5" s="28" t="n">
        <v>3</v>
      </c>
      <c r="B5" s="23"/>
      <c r="C5" s="62" t="s">
        <v>192</v>
      </c>
      <c r="D5" s="133"/>
      <c r="E5" s="129"/>
    </row>
    <row r="6" ht="75.85714285714285" customHeight="1">
      <c r="A6" s="28" t="n">
        <v>4</v>
      </c>
      <c r="B6" s="23"/>
      <c r="C6" s="62" t="s">
        <v>193</v>
      </c>
      <c r="D6" s="166" t="s">
        <v>194</v>
      </c>
      <c r="E6" s="130" t="s">
        <v>195</v>
      </c>
    </row>
    <row r="7" ht="48" customHeight="1">
      <c r="A7" s="28" t="n">
        <v>5</v>
      </c>
      <c r="B7" s="23"/>
      <c r="C7" s="62" t="s">
        <v>196</v>
      </c>
      <c r="D7" s="132" t="s">
        <v>197</v>
      </c>
      <c r="E7" s="131" t="s">
        <v>198</v>
      </c>
    </row>
    <row r="8" s="31" customFormat="1" ht="48" customHeight="1">
      <c r="A8" s="24" t="n">
        <v>1</v>
      </c>
      <c r="B8" s="17" t="s">
        <v>29</v>
      </c>
      <c r="C8" s="106" t="s">
        <v>199</v>
      </c>
      <c r="D8" s="72" t="s">
        <v>200</v>
      </c>
      <c r="E8" s="120"/>
    </row>
    <row r="9" s="31" customFormat="1" ht="48" customHeight="1">
      <c r="A9" s="24" t="n">
        <v>2</v>
      </c>
      <c r="B9" s="17"/>
      <c r="C9" s="5"/>
      <c r="D9" s="72" t="s">
        <v>201</v>
      </c>
      <c r="E9" s="78"/>
    </row>
    <row r="10" s="31" customFormat="1" ht="48" customHeight="1">
      <c r="A10" s="24" t="n">
        <v>3</v>
      </c>
      <c r="B10" s="17"/>
      <c r="C10" s="106" t="s">
        <v>202</v>
      </c>
      <c r="D10" s="72" t="s">
        <v>203</v>
      </c>
      <c r="E10" s="78"/>
    </row>
    <row r="11" s="31" customFormat="1" ht="48" customHeight="1">
      <c r="A11" s="24" t="n">
        <v>4</v>
      </c>
      <c r="B11" s="17"/>
      <c r="C11" s="106" t="s">
        <v>204</v>
      </c>
      <c r="D11" s="167" t="s">
        <v>205</v>
      </c>
      <c r="E11" s="78"/>
    </row>
    <row r="12" s="31" customFormat="1" ht="48" customHeight="1">
      <c r="A12" s="24" t="n">
        <v>5</v>
      </c>
      <c r="B12" s="17"/>
      <c r="C12" s="106" t="s">
        <v>206</v>
      </c>
      <c r="D12" s="121"/>
      <c r="E12" s="78"/>
    </row>
    <row r="13" s="31" customFormat="1" ht="48" customHeight="1">
      <c r="A13" s="24" t="n">
        <v>6</v>
      </c>
      <c r="B13" s="17"/>
      <c r="C13" s="106" t="s">
        <v>207</v>
      </c>
      <c r="D13" s="121"/>
      <c r="E13" s="78"/>
    </row>
    <row r="14" s="31" customFormat="1" ht="48" customHeight="1">
      <c r="A14" s="24" t="n">
        <v>7</v>
      </c>
      <c r="B14" s="128"/>
      <c r="C14" s="62" t="s">
        <v>208</v>
      </c>
      <c r="D14" s="121"/>
      <c r="E14" s="78"/>
    </row>
    <row r="15" s="31" customFormat="1" ht="48" customHeight="1">
      <c r="A15" s="24" t="n">
        <v>8</v>
      </c>
      <c r="B15" s="128"/>
      <c r="C15" s="62" t="s">
        <v>209</v>
      </c>
      <c r="D15" s="121"/>
      <c r="E15" s="78"/>
    </row>
  </sheetData>
  <sheetProtection insertHyperlinks="0" autoFilter="0"/>
  <mergeCells count="6">
    <mergeCell ref="A1:E1"/>
    <mergeCell ref="B8:B15"/>
    <mergeCell ref="B3:B7"/>
    <mergeCell ref="D11:D15"/>
    <mergeCell ref="C8:C9"/>
    <mergeCell ref="D3:D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210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13" t="s">
        <v>23</v>
      </c>
      <c r="D2" s="13" t="s">
        <v>24</v>
      </c>
      <c r="E2" s="13" t="s">
        <v>25</v>
      </c>
    </row>
    <row r="3" ht="79.5" customHeight="1">
      <c r="A3" s="24" t="n">
        <v>1</v>
      </c>
      <c r="B3" s="17" t="s">
        <v>29</v>
      </c>
      <c r="C3" s="68"/>
      <c r="D3" s="82"/>
      <c r="E3" s="30"/>
    </row>
    <row r="29" ht="13.5" customHeight="1">
      <c r="D29" s="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211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6.75" customHeight="1">
      <c r="A3" s="24" t="n">
        <v>1</v>
      </c>
      <c r="B3" s="17" t="s">
        <v>29</v>
      </c>
      <c r="C3" s="68" t="s">
        <v>212</v>
      </c>
      <c r="D3" s="66" t="s">
        <v>213</v>
      </c>
      <c r="E3" s="34"/>
    </row>
    <row r="4" ht="36.75" customHeight="1">
      <c r="A4" s="24" t="n">
        <v>2</v>
      </c>
      <c r="B4" s="96"/>
      <c r="C4" s="68" t="s">
        <v>214</v>
      </c>
      <c r="D4" s="66" t="s">
        <v>215</v>
      </c>
      <c r="E4" s="34"/>
    </row>
  </sheetData>
  <sheetProtection insertHyperlinks="0" autoFilter="0"/>
  <mergeCells count="2">
    <mergeCell ref="B3:B4"/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216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31" customFormat="1" ht="40.5" customHeight="1" hidden="1">
      <c r="A3" s="12"/>
      <c r="B3" s="14" t="s">
        <v>26</v>
      </c>
      <c r="C3" s="15"/>
      <c r="D3" s="16"/>
      <c r="E3" s="20"/>
    </row>
    <row r="4" ht="21" customHeight="1">
      <c r="A4" s="12" t="n">
        <v>1</v>
      </c>
      <c r="B4" s="17" t="s">
        <v>29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2026-01-19T18:56:47Z</dcterms:modified>
</cp:coreProperties>
</file>